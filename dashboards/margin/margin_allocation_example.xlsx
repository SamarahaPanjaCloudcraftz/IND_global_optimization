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otal utilization" state="visible" r:id="rId5"/>
    <sheet sheetId="3" name="Worst-day utilization" state="visible" r:id="rId6"/>
    <sheet sheetId="4" name="Risk-adjusted return" state="visible" r:id="rId7"/>
  </sheets>
  <calcPr calcId="171027"/>
</workbook>
</file>

<file path=xl/sharedStrings.xml><?xml version="1.0" encoding="utf-8"?>
<sst xmlns="http://schemas.openxmlformats.org/spreadsheetml/2006/main" count="326" uniqueCount="87">
  <si>
    <t>Margin allocation — three objectives</t>
  </si>
  <si>
    <t>Generated 08/10/2026, 16:02:09</t>
  </si>
  <si>
    <t>Settings</t>
  </si>
  <si>
    <t>Margin mode</t>
  </si>
  <si>
    <t>Expiry 0DTE, other days ½</t>
  </si>
  <si>
    <t>Horizon</t>
  </si>
  <si>
    <t>Weekly</t>
  </si>
  <si>
    <t>Total margin capital</t>
  </si>
  <si>
    <t>Min margin used — total</t>
  </si>
  <si>
    <t>none</t>
  </si>
  <si>
    <t>NF min / max</t>
  </si>
  <si>
    <t>none / $7,000,000</t>
  </si>
  <si>
    <t>BN min / max</t>
  </si>
  <si>
    <t>none / none</t>
  </si>
  <si>
    <t>SN min / max</t>
  </si>
  <si>
    <t>Expiry weekdays</t>
  </si>
  <si>
    <t>NF tue, BN tue, SN thu</t>
  </si>
  <si>
    <t>Risk aversion λ (risk-adjusted only)</t>
  </si>
  <si>
    <t>Results</t>
  </si>
  <si>
    <t/>
  </si>
  <si>
    <t>Total utilization</t>
  </si>
  <si>
    <t>Worst-day utilization</t>
  </si>
  <si>
    <t>Risk-adjusted return</t>
  </si>
  <si>
    <t>Status</t>
  </si>
  <si>
    <t>optimal</t>
  </si>
  <si>
    <t>Objective value</t>
  </si>
  <si>
    <t>Average utilization</t>
  </si>
  <si>
    <t>Total P&amp;L</t>
  </si>
  <si>
    <t>Return on capital</t>
  </si>
  <si>
    <t>Annualised return</t>
  </si>
  <si>
    <t>Sharpe</t>
  </si>
  <si>
    <t>Sortino</t>
  </si>
  <si>
    <t>Max drawdown</t>
  </si>
  <si>
    <t>Max drawdown % of capital</t>
  </si>
  <si>
    <t>Calmar</t>
  </si>
  <si>
    <t>Win rate</t>
  </si>
  <si>
    <t>Best day</t>
  </si>
  <si>
    <t>Worst day</t>
  </si>
  <si>
    <t>Peak-day margin by strategy</t>
  </si>
  <si>
    <t>strategy</t>
  </si>
  <si>
    <t>NIFTY_MON (NF weekly)</t>
  </si>
  <si>
    <t>NIFTY_TUE (NF weekly)</t>
  </si>
  <si>
    <t>NIFTY_WED (NF weekly)</t>
  </si>
  <si>
    <t>NIFTY_THU (NF weekly)</t>
  </si>
  <si>
    <t>NIFTY_FRI (NF weekly)</t>
  </si>
  <si>
    <t>SENSEX_MON (SN weekly)</t>
  </si>
  <si>
    <t>SENSEX_TUE (SN weekly)</t>
  </si>
  <si>
    <t>SENSEX_WED (SN weekly)</t>
  </si>
  <si>
    <t>SENSEX_THU (SN weekly)</t>
  </si>
  <si>
    <t>SENSEX_FRI (SN weekly)</t>
  </si>
  <si>
    <t>Total utilization — allocation</t>
  </si>
  <si>
    <t>strategy / metric ($)</t>
  </si>
  <si>
    <t>mon</t>
  </si>
  <si>
    <t>tue</t>
  </si>
  <si>
    <t>wed</t>
  </si>
  <si>
    <t>thu</t>
  </si>
  <si>
    <t>fri</t>
  </si>
  <si>
    <t>NIFTY_MON</t>
  </si>
  <si>
    <t>NIFTY_TUE</t>
  </si>
  <si>
    <t>NIFTY_WED</t>
  </si>
  <si>
    <t>NIFTY_THU</t>
  </si>
  <si>
    <t>NIFTY_FRI</t>
  </si>
  <si>
    <t>SENSEX_MON</t>
  </si>
  <si>
    <t>SENSEX_TUE</t>
  </si>
  <si>
    <t>SENSEX_WED</t>
  </si>
  <si>
    <t>SENSEX_THU</t>
  </si>
  <si>
    <t>SENSEX_FRI</t>
  </si>
  <si>
    <t>TOTAL</t>
  </si>
  <si>
    <t>UTILIZATION</t>
  </si>
  <si>
    <t>Key</t>
  </si>
  <si>
    <t>sell day</t>
  </si>
  <si>
    <t>unwind day</t>
  </si>
  <si>
    <t>sell &amp; unwind</t>
  </si>
  <si>
    <t>expiry day</t>
  </si>
  <si>
    <t>P&amp;L summary</t>
  </si>
  <si>
    <t>2026-04-02 → 2026-09-29 · 123 trading days · annualised on 252 days, % of total capital</t>
  </si>
  <si>
    <t>Per strategy</t>
  </si>
  <si>
    <t>peak-day margin</t>
  </si>
  <si>
    <t>P&amp;L scale</t>
  </si>
  <si>
    <t>total P&amp;L</t>
  </si>
  <si>
    <t>share of P&amp;L</t>
  </si>
  <si>
    <t>max drawdown</t>
  </si>
  <si>
    <t>win rate</t>
  </si>
  <si>
    <t>not run</t>
  </si>
  <si>
    <t>—</t>
  </si>
  <si>
    <t>Worst-day utilization — allocation</t>
  </si>
  <si>
    <t>Risk-adjusted return —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</si>
</sst>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;-$#,##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6B6B63"/>
    </font>
    <font>
      <color rgb="FF2F8F5C"/>
    </font>
    <font>
      <b/>
    </font>
    <font>
      <color rgb="FF6B6B63"/>
    </font>
  </fonts>
  <fills count="6">
    <fill>
      <patternFill patternType="none"/>
    </fill>
    <fill>
      <patternFill patternType="gray125"/>
    </fill>
    <fill>
      <patternFill patternType="solid">
        <fgColor rgb="FFF1EFE9"/>
      </patternFill>
    </fill>
    <fill>
      <patternFill patternType="solid">
        <fgColor rgb="FFE1ADB5"/>
      </patternFill>
    </fill>
    <fill>
      <patternFill patternType="solid">
        <fgColor rgb="FFACD2BE"/>
      </patternFill>
    </fill>
    <fill>
      <gradientFill degree="0">
        <stop position="0">
          <color rgb="FFACD2BE"/>
        </stop>
        <stop position="0.499">
          <color rgb="FFACD2BE"/>
        </stop>
        <stop position="0.501">
          <color rgb="FFE1ADB5"/>
        </stop>
        <stop position="1">
          <color rgb="FFE1ADB5"/>
        </stop>
      </gradientFill>
    </fill>
  </fills>
  <borders count="6">
    <border>
      <left/>
      <right/>
      <top/>
      <bottom/>
      <diagonal/>
    </border>
    <border>
      <left/>
      <right/>
      <top/>
      <bottom style="thin">
        <color rgb="FFD9D6CC"/>
      </bottom>
      <diagonal/>
    </border>
    <border>
      <left style="medium">
        <color rgb="FF2F6FA8"/>
      </left>
      <right style="medium">
        <color rgb="FF2F6FA8"/>
      </right>
      <top style="medium">
        <color rgb="FF2F6FA8"/>
      </top>
      <bottom style="medium">
        <color rgb="FF2F6FA8"/>
      </bottom>
      <diagonal/>
    </border>
    <border>
      <left style="medium">
        <color rgb="FFB8741A"/>
      </left>
      <right style="medium">
        <color rgb="FFB8741A"/>
      </right>
      <top style="medium">
        <color rgb="FFB8741A"/>
      </top>
      <bottom style="medium">
        <color rgb="FFB8741A"/>
      </bottom>
      <diagonal/>
    </border>
    <border>
      <left/>
      <right/>
      <top style="medium">
        <color rgb="FFD9D6CC"/>
      </top>
      <bottom/>
      <diagonal/>
    </border>
    <border>
      <left style="medium">
        <color rgb="FF6B6B63"/>
      </left>
      <right style="medium">
        <color rgb="FF6B6B63"/>
      </right>
      <top style="medium">
        <color rgb="FF6B6B63"/>
      </top>
      <bottom style="medium">
        <color rgb="FF6B6B6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5" fillId="0" borderId="2" xfId="0" applyNumberFormat="1" applyFont="1" applyBorder="1"/>
    <xf numFmtId="164" fontId="5" fillId="3" borderId="2" xfId="0" applyNumberFormat="1" applyFon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3" borderId="1" xfId="0" applyNumberFormat="1" applyFill="1" applyBorder="1"/>
    <xf numFmtId="164" fontId="5" fillId="0" borderId="3" xfId="0" applyNumberFormat="1" applyFont="1" applyBorder="1"/>
    <xf numFmtId="164" fontId="5" fillId="3" borderId="3" xfId="0" applyNumberFormat="1" applyFont="1" applyFill="1" applyBorder="1"/>
    <xf numFmtId="0" fontId="5" fillId="2" borderId="4" xfId="0" applyFont="1" applyFill="1" applyBorder="1"/>
    <xf numFmtId="164" fontId="5" fillId="2" borderId="4" xfId="0" applyNumberFormat="1" applyFont="1" applyFill="1" applyBorder="1"/>
    <xf numFmtId="0" fontId="5" fillId="2" borderId="0" xfId="0" applyFont="1" applyFill="1"/>
    <xf numFmtId="165" fontId="5" fillId="2" borderId="0" xfId="0" applyNumberFormat="1" applyFont="1" applyFill="1"/>
    <xf numFmtId="0" fontId="6" fillId="0" borderId="0" xfId="0" applyFon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 showGridLines="0"/>
  </sheetViews>
  <sheetFormatPr defaultRowHeight="15" outlineLevelRow="0" outlineLevelCol="0" x14ac:dyDescent="55"/>
  <cols>
    <col min="1" max="1" width="30" customWidth="1"/>
    <col min="2" max="5" width="2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2" t="s">
        <v>2</v>
      </c>
    </row>
    <row r="5" spans="1:2" x14ac:dyDescent="0.25">
      <c r="A5" t="s">
        <v>3</v>
      </c>
      <c r="B5" s="3" t="s">
        <v>4</v>
      </c>
    </row>
    <row r="6" spans="1:2" x14ac:dyDescent="0.25">
      <c r="A6" t="s">
        <v>5</v>
      </c>
      <c r="B6" s="3" t="s">
        <v>6</v>
      </c>
    </row>
    <row r="7" spans="1:2" x14ac:dyDescent="0.25">
      <c r="A7" t="s">
        <v>7</v>
      </c>
      <c r="B7" s="4">
        <v>14000000</v>
      </c>
    </row>
    <row r="8" spans="1:2" x14ac:dyDescent="0.25">
      <c r="A8" t="s">
        <v>8</v>
      </c>
      <c r="B8" s="3" t="s">
        <v>9</v>
      </c>
    </row>
    <row r="9" spans="1:2" x14ac:dyDescent="0.25">
      <c r="A9" t="s">
        <v>10</v>
      </c>
      <c r="B9" s="3" t="s">
        <v>11</v>
      </c>
    </row>
    <row r="10" spans="1:2" x14ac:dyDescent="0.25">
      <c r="A10" t="s">
        <v>12</v>
      </c>
      <c r="B10" s="3" t="s">
        <v>13</v>
      </c>
    </row>
    <row r="11" spans="1:2" x14ac:dyDescent="0.25">
      <c r="A11" t="s">
        <v>14</v>
      </c>
      <c r="B11" s="3" t="s">
        <v>11</v>
      </c>
    </row>
    <row r="12" spans="1:2" x14ac:dyDescent="0.25">
      <c r="A12" t="s">
        <v>15</v>
      </c>
      <c r="B12" s="3" t="s">
        <v>16</v>
      </c>
    </row>
    <row r="13" spans="1:2" x14ac:dyDescent="0.25">
      <c r="A13" t="s">
        <v>17</v>
      </c>
      <c r="B13" s="3">
        <v>1</v>
      </c>
    </row>
    <row r="15" spans="1:1" x14ac:dyDescent="0.25">
      <c r="A15" s="2" t="s">
        <v>18</v>
      </c>
    </row>
    <row r="16" spans="1:4" x14ac:dyDescent="0.25">
      <c r="A16" s="5" t="s">
        <v>19</v>
      </c>
      <c r="B16" s="6" t="s">
        <v>20</v>
      </c>
      <c r="C16" s="6" t="s">
        <v>21</v>
      </c>
      <c r="D16" s="6" t="s">
        <v>22</v>
      </c>
    </row>
    <row r="17" spans="1:4" x14ac:dyDescent="0.25">
      <c r="A17" t="s">
        <v>23</v>
      </c>
      <c r="B17" s="7" t="s">
        <v>24</v>
      </c>
      <c r="C17" s="7" t="s">
        <v>24</v>
      </c>
      <c r="D17" s="7" t="s">
        <v>24</v>
      </c>
    </row>
    <row r="18" spans="1:4" x14ac:dyDescent="0.25">
      <c r="A18" t="s">
        <v>25</v>
      </c>
      <c r="B18" s="8">
        <v>56000000</v>
      </c>
      <c r="C18" s="9">
        <v>0.5</v>
      </c>
      <c r="D18" s="8">
        <v>253655603.6291667</v>
      </c>
    </row>
    <row r="19" spans="1:4" x14ac:dyDescent="0.25">
      <c r="A19" t="s">
        <v>26</v>
      </c>
      <c r="B19" s="9">
        <v>0.7999999998</v>
      </c>
      <c r="C19" s="9">
        <v>0.5999999998</v>
      </c>
      <c r="D19" s="9">
        <v>0.7999999998</v>
      </c>
    </row>
    <row r="20" spans="1:4" x14ac:dyDescent="0.25">
      <c r="A20" t="s">
        <v>27</v>
      </c>
      <c r="B20" s="8">
        <v>292760924.93562967</v>
      </c>
      <c r="C20" s="8">
        <v>235552984.8456296</v>
      </c>
      <c r="D20" s="8">
        <v>292760924.93562967</v>
      </c>
    </row>
    <row r="21" spans="1:4" x14ac:dyDescent="0.25">
      <c r="A21" t="s">
        <v>28</v>
      </c>
      <c r="B21" s="9">
        <v>20.911494638259263</v>
      </c>
      <c r="C21" s="9">
        <v>16.825213203259256</v>
      </c>
      <c r="D21" s="9">
        <v>20.911494638259263</v>
      </c>
    </row>
    <row r="22" spans="1:4" x14ac:dyDescent="0.25">
      <c r="A22" t="s">
        <v>29</v>
      </c>
      <c r="B22" s="9">
        <v>42.8430621857019</v>
      </c>
      <c r="C22" s="9">
        <v>34.47116851399458</v>
      </c>
      <c r="D22" s="9">
        <v>42.8430621857019</v>
      </c>
    </row>
    <row r="23" spans="1:4" x14ac:dyDescent="0.25">
      <c r="A23" t="s">
        <v>30</v>
      </c>
      <c r="B23" s="10">
        <v>7.099286928522448</v>
      </c>
      <c r="C23" s="10">
        <v>7.234973888630724</v>
      </c>
      <c r="D23" s="10">
        <v>7.099286928522448</v>
      </c>
    </row>
    <row r="24" spans="1:4" x14ac:dyDescent="0.25">
      <c r="A24" t="s">
        <v>31</v>
      </c>
      <c r="B24" s="10">
        <v>15.3768547663223</v>
      </c>
      <c r="C24" s="10">
        <v>14.437288135457747</v>
      </c>
      <c r="D24" s="10">
        <v>15.3768547663223</v>
      </c>
    </row>
    <row r="25" spans="1:4" x14ac:dyDescent="0.25">
      <c r="A25" t="s">
        <v>32</v>
      </c>
      <c r="B25" s="8">
        <v>14315389.149093688</v>
      </c>
      <c r="C25" s="8">
        <v>14315389.149093702</v>
      </c>
      <c r="D25" s="8">
        <v>14315389.149093688</v>
      </c>
    </row>
    <row r="26" spans="1:4" x14ac:dyDescent="0.25">
      <c r="A26" t="s">
        <v>33</v>
      </c>
      <c r="B26" s="9">
        <v>1.0225277963638348</v>
      </c>
      <c r="C26" s="9">
        <v>1.022527796363836</v>
      </c>
      <c r="D26" s="9">
        <v>1.0225277963638348</v>
      </c>
    </row>
    <row r="27" spans="1:4" x14ac:dyDescent="0.25">
      <c r="A27" t="s">
        <v>34</v>
      </c>
      <c r="B27" s="10">
        <v>41.89916629949248</v>
      </c>
      <c r="C27" s="10">
        <v>33.711717800314005</v>
      </c>
      <c r="D27" s="10">
        <v>41.89916629949248</v>
      </c>
    </row>
    <row r="28" spans="1:4" x14ac:dyDescent="0.25">
      <c r="A28" t="s">
        <v>35</v>
      </c>
      <c r="B28" s="9">
        <v>0.717948717948718</v>
      </c>
      <c r="C28" s="9">
        <v>0.717948717948718</v>
      </c>
      <c r="D28" s="9">
        <v>0.717948717948718</v>
      </c>
    </row>
    <row r="29" spans="1:4" x14ac:dyDescent="0.25">
      <c r="A29" t="s">
        <v>36</v>
      </c>
      <c r="B29" s="8">
        <v>25670002.371244878</v>
      </c>
      <c r="C29" s="8">
        <v>17579069.066244878</v>
      </c>
      <c r="D29" s="8">
        <v>25670002.371244878</v>
      </c>
    </row>
    <row r="30" spans="1:4" x14ac:dyDescent="0.25">
      <c r="A30" t="s">
        <v>37</v>
      </c>
      <c r="B30" s="8">
        <v>-14315389.149093699</v>
      </c>
      <c r="C30" s="8">
        <v>-14315389.149093699</v>
      </c>
      <c r="D30" s="8">
        <v>-14315389.149093699</v>
      </c>
    </row>
    <row r="32" spans="1:1" x14ac:dyDescent="0.25">
      <c r="A32" s="2" t="s">
        <v>38</v>
      </c>
    </row>
    <row r="33" spans="1:4" x14ac:dyDescent="0.25">
      <c r="A33" s="5" t="s">
        <v>39</v>
      </c>
      <c r="B33" s="6" t="s">
        <v>20</v>
      </c>
      <c r="C33" s="6" t="s">
        <v>21</v>
      </c>
      <c r="D33" s="6" t="s">
        <v>22</v>
      </c>
    </row>
    <row r="34" spans="1:4" x14ac:dyDescent="0.25">
      <c r="A34" t="s">
        <v>40</v>
      </c>
      <c r="B34" s="8">
        <v>0</v>
      </c>
      <c r="C34" s="8">
        <v>0</v>
      </c>
      <c r="D34" s="8">
        <v>0</v>
      </c>
    </row>
    <row r="35" spans="1:4" x14ac:dyDescent="0.25">
      <c r="A35" t="s">
        <v>41</v>
      </c>
      <c r="B35" s="8">
        <v>0</v>
      </c>
      <c r="C35" s="8">
        <v>0</v>
      </c>
      <c r="D35" s="8">
        <v>0</v>
      </c>
    </row>
    <row r="36" spans="1:4" x14ac:dyDescent="0.25">
      <c r="A36" t="s">
        <v>42</v>
      </c>
      <c r="B36" s="8">
        <v>6999999.996</v>
      </c>
      <c r="C36" s="8">
        <v>6999999.996</v>
      </c>
      <c r="D36" s="8">
        <v>6999999.996</v>
      </c>
    </row>
    <row r="37" spans="1:4" x14ac:dyDescent="0.25">
      <c r="A37" t="s">
        <v>43</v>
      </c>
      <c r="B37" s="8">
        <v>0</v>
      </c>
      <c r="C37" s="8">
        <v>0</v>
      </c>
      <c r="D37" s="8">
        <v>0</v>
      </c>
    </row>
    <row r="38" spans="1:4" x14ac:dyDescent="0.25">
      <c r="A38" t="s">
        <v>44</v>
      </c>
      <c r="B38" s="8">
        <v>3499999.998</v>
      </c>
      <c r="C38" s="8">
        <v>3499999.998</v>
      </c>
      <c r="D38" s="8">
        <v>3499999.998</v>
      </c>
    </row>
    <row r="39" spans="1:4" x14ac:dyDescent="0.25">
      <c r="A39" t="s">
        <v>45</v>
      </c>
      <c r="B39" s="8">
        <v>7000000</v>
      </c>
      <c r="C39" s="8">
        <v>3500000</v>
      </c>
      <c r="D39" s="8">
        <v>7000000</v>
      </c>
    </row>
    <row r="40" spans="1:4" x14ac:dyDescent="0.25">
      <c r="A40" t="s">
        <v>46</v>
      </c>
      <c r="B40" s="8">
        <v>0</v>
      </c>
      <c r="C40" s="8">
        <v>0</v>
      </c>
      <c r="D40" s="8">
        <v>0</v>
      </c>
    </row>
    <row r="41" spans="1:4" x14ac:dyDescent="0.25">
      <c r="A41" t="s">
        <v>47</v>
      </c>
      <c r="B41" s="8">
        <v>7000000</v>
      </c>
      <c r="C41" s="8">
        <v>7000000</v>
      </c>
      <c r="D41" s="8">
        <v>7000000</v>
      </c>
    </row>
    <row r="42" spans="1:4" x14ac:dyDescent="0.25">
      <c r="A42" t="s">
        <v>48</v>
      </c>
      <c r="B42" s="8">
        <v>0</v>
      </c>
      <c r="C42" s="8">
        <v>0</v>
      </c>
      <c r="D42" s="8">
        <v>0</v>
      </c>
    </row>
    <row r="43" spans="1:4" x14ac:dyDescent="0.25">
      <c r="A43" t="s">
        <v>49</v>
      </c>
      <c r="B43" s="8">
        <v>7000000</v>
      </c>
      <c r="C43" s="8">
        <v>0</v>
      </c>
      <c r="D43" s="8">
        <v>7000000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 showGridLines="0"/>
  </sheetViews>
  <sheetFormatPr defaultRowHeight="15" outlineLevelRow="0" outlineLevelCol="0" x14ac:dyDescent="55"/>
  <cols>
    <col min="1" max="1" width="26" customWidth="1"/>
    <col min="2" max="9" width="15" customWidth="1"/>
  </cols>
  <sheetData>
    <row r="1" spans="1:1" x14ac:dyDescent="0.25">
      <c r="A1" s="1" t="s">
        <v>50</v>
      </c>
    </row>
    <row r="2" spans="1:2" x14ac:dyDescent="0.25">
      <c r="A2" t="s">
        <v>25</v>
      </c>
      <c r="B2" s="8">
        <v>56000000</v>
      </c>
    </row>
    <row r="4" spans="1:6" x14ac:dyDescent="0.25">
      <c r="A4" s="5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</row>
    <row r="5" spans="1:6" x14ac:dyDescent="0.25">
      <c r="A5" s="11" t="s">
        <v>57</v>
      </c>
      <c r="B5" s="12">
        <v>0</v>
      </c>
      <c r="C5" s="13">
        <v>0</v>
      </c>
      <c r="D5" s="12">
        <v>0</v>
      </c>
      <c r="E5" s="12">
        <v>0</v>
      </c>
      <c r="F5" s="12">
        <v>0</v>
      </c>
    </row>
    <row r="6" spans="1:6" x14ac:dyDescent="0.25">
      <c r="A6" s="11" t="s">
        <v>58</v>
      </c>
      <c r="B6" s="12">
        <v>0</v>
      </c>
      <c r="C6" s="13">
        <v>0</v>
      </c>
      <c r="D6" s="12">
        <v>0</v>
      </c>
      <c r="E6" s="12">
        <v>0</v>
      </c>
      <c r="F6" s="12">
        <v>0</v>
      </c>
    </row>
    <row r="7" spans="1:6" x14ac:dyDescent="0.25">
      <c r="A7" s="11" t="s">
        <v>59</v>
      </c>
      <c r="B7" s="12">
        <v>3499999.998</v>
      </c>
      <c r="C7" s="14">
        <v>6999999.996</v>
      </c>
      <c r="D7" s="15">
        <v>3499999.998</v>
      </c>
      <c r="E7" s="12">
        <v>3499999.998</v>
      </c>
      <c r="F7" s="12">
        <v>3499999.998</v>
      </c>
    </row>
    <row r="8" spans="1:6" x14ac:dyDescent="0.25">
      <c r="A8" s="11" t="s">
        <v>60</v>
      </c>
      <c r="B8" s="12">
        <v>0</v>
      </c>
      <c r="C8" s="13">
        <v>0</v>
      </c>
      <c r="D8" s="12">
        <v>0</v>
      </c>
      <c r="E8" s="12">
        <v>0</v>
      </c>
      <c r="F8" s="12">
        <v>0</v>
      </c>
    </row>
    <row r="9" spans="1:6" x14ac:dyDescent="0.25">
      <c r="A9" s="11" t="s">
        <v>61</v>
      </c>
      <c r="B9" s="12">
        <v>0</v>
      </c>
      <c r="C9" s="13">
        <v>0</v>
      </c>
      <c r="D9" s="12">
        <v>0</v>
      </c>
      <c r="E9" s="12">
        <v>0</v>
      </c>
      <c r="F9" s="16">
        <v>3499999.998</v>
      </c>
    </row>
    <row r="10" spans="1:6" x14ac:dyDescent="0.25">
      <c r="A10" s="11" t="s">
        <v>62</v>
      </c>
      <c r="B10" s="15">
        <v>7000000</v>
      </c>
      <c r="C10" s="17">
        <v>7000000</v>
      </c>
      <c r="D10" s="12">
        <v>0</v>
      </c>
      <c r="E10" s="18">
        <v>0</v>
      </c>
      <c r="F10" s="12">
        <v>0</v>
      </c>
    </row>
    <row r="11" spans="1:6" x14ac:dyDescent="0.25">
      <c r="A11" s="11" t="s">
        <v>63</v>
      </c>
      <c r="B11" s="12">
        <v>0</v>
      </c>
      <c r="C11" s="12">
        <v>0</v>
      </c>
      <c r="D11" s="12">
        <v>0</v>
      </c>
      <c r="E11" s="18">
        <v>0</v>
      </c>
      <c r="F11" s="12">
        <v>0</v>
      </c>
    </row>
    <row r="12" spans="1:6" x14ac:dyDescent="0.25">
      <c r="A12" s="11" t="s">
        <v>64</v>
      </c>
      <c r="B12" s="12">
        <v>0</v>
      </c>
      <c r="C12" s="12">
        <v>0</v>
      </c>
      <c r="D12" s="15">
        <v>3500000</v>
      </c>
      <c r="E12" s="19">
        <v>7000000</v>
      </c>
      <c r="F12" s="12">
        <v>0</v>
      </c>
    </row>
    <row r="13" spans="1:6" x14ac:dyDescent="0.25">
      <c r="A13" s="11" t="s">
        <v>65</v>
      </c>
      <c r="B13" s="12">
        <v>0</v>
      </c>
      <c r="C13" s="12">
        <v>0</v>
      </c>
      <c r="D13" s="12">
        <v>0</v>
      </c>
      <c r="E13" s="18">
        <v>0</v>
      </c>
      <c r="F13" s="12">
        <v>0</v>
      </c>
    </row>
    <row r="14" spans="1:6" x14ac:dyDescent="0.25">
      <c r="A14" s="11" t="s">
        <v>66</v>
      </c>
      <c r="B14" s="12">
        <v>0</v>
      </c>
      <c r="C14" s="12">
        <v>0</v>
      </c>
      <c r="D14" s="12">
        <v>0</v>
      </c>
      <c r="E14" s="18">
        <v>0</v>
      </c>
      <c r="F14" s="16">
        <v>7000000</v>
      </c>
    </row>
    <row r="15" spans="1:6" x14ac:dyDescent="0.25">
      <c r="A15" s="20" t="s">
        <v>67</v>
      </c>
      <c r="B15" s="21">
        <v>10499999.998</v>
      </c>
      <c r="C15" s="21">
        <v>13999999.996</v>
      </c>
      <c r="D15" s="21">
        <v>6999999.998</v>
      </c>
      <c r="E15" s="21">
        <v>10499999.998</v>
      </c>
      <c r="F15" s="21">
        <v>13999999.996</v>
      </c>
    </row>
    <row r="16" spans="1:6" x14ac:dyDescent="0.25">
      <c r="A16" s="22" t="s">
        <v>68</v>
      </c>
      <c r="B16" s="23">
        <v>0.7499999998571428</v>
      </c>
      <c r="C16" s="23">
        <v>0.9999999997142857</v>
      </c>
      <c r="D16" s="23">
        <v>0.49999999985714283</v>
      </c>
      <c r="E16" s="23">
        <v>0.7499999998571428</v>
      </c>
      <c r="F16" s="23">
        <v>0.9999999997142857</v>
      </c>
    </row>
    <row r="18" spans="1:5" x14ac:dyDescent="0.25">
      <c r="A18" s="24" t="s">
        <v>69</v>
      </c>
      <c r="B18" s="25" t="s">
        <v>70</v>
      </c>
      <c r="C18" s="26" t="s">
        <v>71</v>
      </c>
      <c r="D18" s="27" t="s">
        <v>72</v>
      </c>
      <c r="E18" s="28" t="s">
        <v>73</v>
      </c>
    </row>
    <row r="20" spans="1:1" x14ac:dyDescent="0.25">
      <c r="A20" s="2" t="s">
        <v>74</v>
      </c>
    </row>
    <row r="21" spans="1:1" x14ac:dyDescent="0.25">
      <c r="A21" t="s">
        <v>75</v>
      </c>
    </row>
    <row r="22" spans="1:2" x14ac:dyDescent="0.25">
      <c r="A22" t="s">
        <v>27</v>
      </c>
      <c r="B22" s="8">
        <v>292760924.93562967</v>
      </c>
    </row>
    <row r="23" spans="1:2" x14ac:dyDescent="0.25">
      <c r="A23" t="s">
        <v>28</v>
      </c>
      <c r="B23" s="9">
        <v>20.911494638259263</v>
      </c>
    </row>
    <row r="24" spans="1:2" x14ac:dyDescent="0.25">
      <c r="A24" t="s">
        <v>29</v>
      </c>
      <c r="B24" s="9">
        <v>42.8430621857019</v>
      </c>
    </row>
    <row r="25" spans="1:2" x14ac:dyDescent="0.25">
      <c r="A25" t="s">
        <v>30</v>
      </c>
      <c r="B25" s="10">
        <v>7.099286928522448</v>
      </c>
    </row>
    <row r="26" spans="1:2" x14ac:dyDescent="0.25">
      <c r="A26" t="s">
        <v>31</v>
      </c>
      <c r="B26" s="10">
        <v>15.3768547663223</v>
      </c>
    </row>
    <row r="27" spans="1:2" x14ac:dyDescent="0.25">
      <c r="A27" t="s">
        <v>32</v>
      </c>
      <c r="B27" s="8">
        <v>14315389.149093688</v>
      </c>
    </row>
    <row r="28" spans="1:2" x14ac:dyDescent="0.25">
      <c r="A28" t="s">
        <v>33</v>
      </c>
      <c r="B28" s="9">
        <v>1.0225277963638348</v>
      </c>
    </row>
    <row r="29" spans="1:2" x14ac:dyDescent="0.25">
      <c r="A29" t="s">
        <v>34</v>
      </c>
      <c r="B29" s="10">
        <v>41.89916629949248</v>
      </c>
    </row>
    <row r="30" spans="1:2" x14ac:dyDescent="0.25">
      <c r="A30" t="s">
        <v>35</v>
      </c>
      <c r="B30" s="9">
        <v>0.717948717948718</v>
      </c>
    </row>
    <row r="31" spans="1:2" x14ac:dyDescent="0.25">
      <c r="A31" t="s">
        <v>36</v>
      </c>
      <c r="B31" s="8">
        <v>25670002.371244878</v>
      </c>
    </row>
    <row r="32" spans="1:2" x14ac:dyDescent="0.25">
      <c r="A32" t="s">
        <v>37</v>
      </c>
      <c r="B32" s="8">
        <v>-14315389.149093699</v>
      </c>
    </row>
    <row r="34" spans="1:1" x14ac:dyDescent="0.25">
      <c r="A34" s="2" t="s">
        <v>76</v>
      </c>
    </row>
    <row r="35" spans="1:9" x14ac:dyDescent="0.25">
      <c r="A35" s="5" t="s">
        <v>39</v>
      </c>
      <c r="B35" s="6" t="s">
        <v>77</v>
      </c>
      <c r="C35" s="6" t="s">
        <v>78</v>
      </c>
      <c r="D35" s="6" t="s">
        <v>79</v>
      </c>
      <c r="E35" s="6" t="s">
        <v>80</v>
      </c>
      <c r="F35" s="6" t="s">
        <v>30</v>
      </c>
      <c r="G35" s="6" t="s">
        <v>31</v>
      </c>
      <c r="H35" s="6" t="s">
        <v>81</v>
      </c>
      <c r="I35" s="6" t="s">
        <v>82</v>
      </c>
    </row>
    <row r="36" spans="1:9" x14ac:dyDescent="0.25">
      <c r="A36" t="s">
        <v>57</v>
      </c>
      <c r="B36" s="8">
        <v>0</v>
      </c>
      <c r="C36" s="10">
        <v>0</v>
      </c>
      <c r="D36" s="3" t="s">
        <v>83</v>
      </c>
      <c r="E36" s="3" t="s">
        <v>84</v>
      </c>
      <c r="F36" s="3" t="s">
        <v>84</v>
      </c>
      <c r="G36" s="3" t="s">
        <v>84</v>
      </c>
      <c r="H36" s="3" t="s">
        <v>84</v>
      </c>
      <c r="I36" s="3" t="s">
        <v>84</v>
      </c>
    </row>
    <row r="37" spans="1:9" x14ac:dyDescent="0.25">
      <c r="A37" t="s">
        <v>58</v>
      </c>
      <c r="B37" s="8">
        <v>0</v>
      </c>
      <c r="C37" s="10">
        <v>0</v>
      </c>
      <c r="D37" s="3" t="s">
        <v>83</v>
      </c>
      <c r="E37" s="3" t="s">
        <v>84</v>
      </c>
      <c r="F37" s="3" t="s">
        <v>84</v>
      </c>
      <c r="G37" s="3" t="s">
        <v>84</v>
      </c>
      <c r="H37" s="3" t="s">
        <v>84</v>
      </c>
      <c r="I37" s="3" t="s">
        <v>84</v>
      </c>
    </row>
    <row r="38" spans="1:9" x14ac:dyDescent="0.25">
      <c r="A38" t="s">
        <v>59</v>
      </c>
      <c r="B38" s="8">
        <v>6999999.996</v>
      </c>
      <c r="C38" s="10">
        <v>5.83333333</v>
      </c>
      <c r="D38" s="8">
        <v>107541559.99688104</v>
      </c>
      <c r="E38" s="9">
        <v>0.3673357707164184</v>
      </c>
      <c r="F38" s="10">
        <v>5.445892883239257</v>
      </c>
      <c r="G38" s="10">
        <v>9.562230467173828</v>
      </c>
      <c r="H38" s="8">
        <v>12580397.426144525</v>
      </c>
      <c r="I38" s="9">
        <v>0.7289719626168224</v>
      </c>
    </row>
    <row r="39" spans="1:9" x14ac:dyDescent="0.25">
      <c r="A39" t="s">
        <v>60</v>
      </c>
      <c r="B39" s="8">
        <v>0</v>
      </c>
      <c r="C39" s="10">
        <v>0</v>
      </c>
      <c r="D39" s="3" t="s">
        <v>83</v>
      </c>
      <c r="E39" s="3" t="s">
        <v>84</v>
      </c>
      <c r="F39" s="3" t="s">
        <v>84</v>
      </c>
      <c r="G39" s="3" t="s">
        <v>84</v>
      </c>
      <c r="H39" s="3" t="s">
        <v>84</v>
      </c>
      <c r="I39" s="3" t="s">
        <v>84</v>
      </c>
    </row>
    <row r="40" spans="1:9" x14ac:dyDescent="0.25">
      <c r="A40" t="s">
        <v>61</v>
      </c>
      <c r="B40" s="8">
        <v>3499999.998</v>
      </c>
      <c r="C40" s="10">
        <v>2.916666665</v>
      </c>
      <c r="D40" s="8">
        <v>6564949.2087486</v>
      </c>
      <c r="E40" s="9">
        <v>0.022424267207763665</v>
      </c>
      <c r="F40" s="10">
        <v>3.021943202038066</v>
      </c>
      <c r="G40" s="10">
        <v>5.321449713491942</v>
      </c>
      <c r="H40" s="8">
        <v>1600876.8407518798</v>
      </c>
      <c r="I40" s="9">
        <v>0.8095238095238095</v>
      </c>
    </row>
    <row r="41" spans="1:9" x14ac:dyDescent="0.25">
      <c r="A41" t="s">
        <v>62</v>
      </c>
      <c r="B41" s="8">
        <v>7000000</v>
      </c>
      <c r="C41" s="10">
        <v>7</v>
      </c>
      <c r="D41" s="8">
        <v>102411319.64000002</v>
      </c>
      <c r="E41" s="9">
        <v>0.3498121194367641</v>
      </c>
      <c r="F41" s="10">
        <v>3.9011945701800754</v>
      </c>
      <c r="G41" s="10">
        <v>8.491454674243256</v>
      </c>
      <c r="H41" s="8">
        <v>13443152.24</v>
      </c>
      <c r="I41" s="9">
        <v>0.6666666666666666</v>
      </c>
    </row>
    <row r="42" spans="1:9" x14ac:dyDescent="0.25">
      <c r="A42" t="s">
        <v>63</v>
      </c>
      <c r="B42" s="8">
        <v>0</v>
      </c>
      <c r="C42" s="10">
        <v>0</v>
      </c>
      <c r="D42" s="3" t="s">
        <v>83</v>
      </c>
      <c r="E42" s="3" t="s">
        <v>84</v>
      </c>
      <c r="F42" s="3" t="s">
        <v>84</v>
      </c>
      <c r="G42" s="3" t="s">
        <v>84</v>
      </c>
      <c r="H42" s="3" t="s">
        <v>84</v>
      </c>
      <c r="I42" s="3" t="s">
        <v>84</v>
      </c>
    </row>
    <row r="43" spans="1:9" x14ac:dyDescent="0.25">
      <c r="A43" t="s">
        <v>64</v>
      </c>
      <c r="B43" s="8">
        <v>7000000</v>
      </c>
      <c r="C43" s="10">
        <v>7</v>
      </c>
      <c r="D43" s="8">
        <v>70240815.82</v>
      </c>
      <c r="E43" s="9">
        <v>0.2399255154540999</v>
      </c>
      <c r="F43" s="10">
        <v>4.72081778604909</v>
      </c>
      <c r="G43" s="10">
        <v>9.192075458744055</v>
      </c>
      <c r="H43" s="8">
        <v>7411321.329999998</v>
      </c>
      <c r="I43" s="9">
        <v>0.8260869565217391</v>
      </c>
    </row>
    <row r="44" spans="1:9" x14ac:dyDescent="0.25">
      <c r="A44" t="s">
        <v>65</v>
      </c>
      <c r="B44" s="8">
        <v>0</v>
      </c>
      <c r="C44" s="10">
        <v>0</v>
      </c>
      <c r="D44" s="3" t="s">
        <v>83</v>
      </c>
      <c r="E44" s="3" t="s">
        <v>84</v>
      </c>
      <c r="F44" s="3" t="s">
        <v>84</v>
      </c>
      <c r="G44" s="3" t="s">
        <v>84</v>
      </c>
      <c r="H44" s="3" t="s">
        <v>84</v>
      </c>
      <c r="I44" s="3" t="s">
        <v>84</v>
      </c>
    </row>
    <row r="45" spans="1:9" x14ac:dyDescent="0.25">
      <c r="A45" t="s">
        <v>66</v>
      </c>
      <c r="B45" s="8">
        <v>7000000</v>
      </c>
      <c r="C45" s="10">
        <v>7</v>
      </c>
      <c r="D45" s="8">
        <v>6002280.27</v>
      </c>
      <c r="E45" s="9">
        <v>0.02050232718495387</v>
      </c>
      <c r="F45" s="10">
        <v>1.5487652349028063</v>
      </c>
      <c r="G45" s="10">
        <v>2.631355858849434</v>
      </c>
      <c r="H45" s="8">
        <v>4069573.9700000007</v>
      </c>
      <c r="I45" s="9">
        <v>0.5454545454545454</v>
      </c>
    </row>
  </sheetData>
  <conditionalFormatting sqref="B16:F16">
    <cfRule type="dataBar" priority="1">
      <dataBar>
        <cfvo type="num" val="0"/>
        <cfvo type="num" val="1"/>
        <color rgb="FF5B9DD9"/>
      </dataBar>
      <extLst>
        <ext xmlns:x14="http://schemas.microsoft.com/office/spreadsheetml/2009/9/main" uri="{B025F937-C7B1-47D3-B67F-A62EFF666E3E}">
          <x14:id>{64BAA01B-A577-44F8-A412-278278411C18}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BAA01B-A577-44F8-A412-278278411C18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B16:F16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 showGridLines="0"/>
  </sheetViews>
  <sheetFormatPr defaultRowHeight="15" outlineLevelRow="0" outlineLevelCol="0" x14ac:dyDescent="55"/>
  <cols>
    <col min="1" max="1" width="26" customWidth="1"/>
    <col min="2" max="9" width="15" customWidth="1"/>
  </cols>
  <sheetData>
    <row r="1" spans="1:1" x14ac:dyDescent="0.25">
      <c r="A1" s="1" t="s">
        <v>85</v>
      </c>
    </row>
    <row r="2" spans="1:2" x14ac:dyDescent="0.25">
      <c r="A2" t="s">
        <v>25</v>
      </c>
      <c r="B2" s="9">
        <v>0.5</v>
      </c>
    </row>
    <row r="4" spans="1:6" x14ac:dyDescent="0.25">
      <c r="A4" s="5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</row>
    <row r="5" spans="1:6" x14ac:dyDescent="0.25">
      <c r="A5" s="11" t="s">
        <v>57</v>
      </c>
      <c r="B5" s="12">
        <v>0</v>
      </c>
      <c r="C5" s="13">
        <v>0</v>
      </c>
      <c r="D5" s="12">
        <v>0</v>
      </c>
      <c r="E5" s="12">
        <v>0</v>
      </c>
      <c r="F5" s="12">
        <v>0</v>
      </c>
    </row>
    <row r="6" spans="1:6" x14ac:dyDescent="0.25">
      <c r="A6" s="11" t="s">
        <v>58</v>
      </c>
      <c r="B6" s="12">
        <v>0</v>
      </c>
      <c r="C6" s="13">
        <v>0</v>
      </c>
      <c r="D6" s="12">
        <v>0</v>
      </c>
      <c r="E6" s="12">
        <v>0</v>
      </c>
      <c r="F6" s="12">
        <v>0</v>
      </c>
    </row>
    <row r="7" spans="1:6" x14ac:dyDescent="0.25">
      <c r="A7" s="11" t="s">
        <v>59</v>
      </c>
      <c r="B7" s="12">
        <v>3499999.998</v>
      </c>
      <c r="C7" s="14">
        <v>6999999.996</v>
      </c>
      <c r="D7" s="15">
        <v>3499999.998</v>
      </c>
      <c r="E7" s="12">
        <v>3499999.998</v>
      </c>
      <c r="F7" s="12">
        <v>3499999.998</v>
      </c>
    </row>
    <row r="8" spans="1:6" x14ac:dyDescent="0.25">
      <c r="A8" s="11" t="s">
        <v>60</v>
      </c>
      <c r="B8" s="12">
        <v>0</v>
      </c>
      <c r="C8" s="13">
        <v>0</v>
      </c>
      <c r="D8" s="12">
        <v>0</v>
      </c>
      <c r="E8" s="12">
        <v>0</v>
      </c>
      <c r="F8" s="12">
        <v>0</v>
      </c>
    </row>
    <row r="9" spans="1:6" x14ac:dyDescent="0.25">
      <c r="A9" s="11" t="s">
        <v>61</v>
      </c>
      <c r="B9" s="12">
        <v>0</v>
      </c>
      <c r="C9" s="13">
        <v>0</v>
      </c>
      <c r="D9" s="12">
        <v>0</v>
      </c>
      <c r="E9" s="12">
        <v>0</v>
      </c>
      <c r="F9" s="16">
        <v>3499999.998</v>
      </c>
    </row>
    <row r="10" spans="1:6" x14ac:dyDescent="0.25">
      <c r="A10" s="11" t="s">
        <v>62</v>
      </c>
      <c r="B10" s="15">
        <v>3500000</v>
      </c>
      <c r="C10" s="17">
        <v>3500000</v>
      </c>
      <c r="D10" s="12">
        <v>0</v>
      </c>
      <c r="E10" s="18">
        <v>0</v>
      </c>
      <c r="F10" s="12">
        <v>0</v>
      </c>
    </row>
    <row r="11" spans="1:6" x14ac:dyDescent="0.25">
      <c r="A11" s="11" t="s">
        <v>63</v>
      </c>
      <c r="B11" s="12">
        <v>0</v>
      </c>
      <c r="C11" s="12">
        <v>0</v>
      </c>
      <c r="D11" s="12">
        <v>0</v>
      </c>
      <c r="E11" s="18">
        <v>0</v>
      </c>
      <c r="F11" s="12">
        <v>0</v>
      </c>
    </row>
    <row r="12" spans="1:6" x14ac:dyDescent="0.25">
      <c r="A12" s="11" t="s">
        <v>64</v>
      </c>
      <c r="B12" s="12">
        <v>0</v>
      </c>
      <c r="C12" s="12">
        <v>0</v>
      </c>
      <c r="D12" s="15">
        <v>3500000</v>
      </c>
      <c r="E12" s="19">
        <v>7000000</v>
      </c>
      <c r="F12" s="12">
        <v>0</v>
      </c>
    </row>
    <row r="13" spans="1:6" x14ac:dyDescent="0.25">
      <c r="A13" s="11" t="s">
        <v>65</v>
      </c>
      <c r="B13" s="12">
        <v>0</v>
      </c>
      <c r="C13" s="12">
        <v>0</v>
      </c>
      <c r="D13" s="12">
        <v>0</v>
      </c>
      <c r="E13" s="18">
        <v>0</v>
      </c>
      <c r="F13" s="12">
        <v>0</v>
      </c>
    </row>
    <row r="14" spans="1:6" x14ac:dyDescent="0.25">
      <c r="A14" s="11" t="s">
        <v>66</v>
      </c>
      <c r="B14" s="12">
        <v>0</v>
      </c>
      <c r="C14" s="12">
        <v>0</v>
      </c>
      <c r="D14" s="12">
        <v>0</v>
      </c>
      <c r="E14" s="18">
        <v>0</v>
      </c>
      <c r="F14" s="12">
        <v>0</v>
      </c>
    </row>
    <row r="15" spans="1:6" x14ac:dyDescent="0.25">
      <c r="A15" s="20" t="s">
        <v>67</v>
      </c>
      <c r="B15" s="21">
        <v>6999999.998</v>
      </c>
      <c r="C15" s="21">
        <v>10499999.996</v>
      </c>
      <c r="D15" s="21">
        <v>6999999.998</v>
      </c>
      <c r="E15" s="21">
        <v>10499999.998</v>
      </c>
      <c r="F15" s="21">
        <v>6999999.996</v>
      </c>
    </row>
    <row r="16" spans="1:6" x14ac:dyDescent="0.25">
      <c r="A16" s="22" t="s">
        <v>68</v>
      </c>
      <c r="B16" s="23">
        <v>0.49999999985714283</v>
      </c>
      <c r="C16" s="23">
        <v>0.7499999997142857</v>
      </c>
      <c r="D16" s="23">
        <v>0.49999999985714283</v>
      </c>
      <c r="E16" s="23">
        <v>0.7499999998571428</v>
      </c>
      <c r="F16" s="23">
        <v>0.4999999997142857</v>
      </c>
    </row>
    <row r="18" spans="1:5" x14ac:dyDescent="0.25">
      <c r="A18" s="24" t="s">
        <v>69</v>
      </c>
      <c r="B18" s="25" t="s">
        <v>70</v>
      </c>
      <c r="C18" s="26" t="s">
        <v>71</v>
      </c>
      <c r="D18" s="27" t="s">
        <v>72</v>
      </c>
      <c r="E18" s="28" t="s">
        <v>73</v>
      </c>
    </row>
    <row r="20" spans="1:1" x14ac:dyDescent="0.25">
      <c r="A20" s="2" t="s">
        <v>74</v>
      </c>
    </row>
    <row r="21" spans="1:1" x14ac:dyDescent="0.25">
      <c r="A21" t="s">
        <v>75</v>
      </c>
    </row>
    <row r="22" spans="1:2" x14ac:dyDescent="0.25">
      <c r="A22" t="s">
        <v>27</v>
      </c>
      <c r="B22" s="8">
        <v>235552984.8456296</v>
      </c>
    </row>
    <row r="23" spans="1:2" x14ac:dyDescent="0.25">
      <c r="A23" t="s">
        <v>28</v>
      </c>
      <c r="B23" s="9">
        <v>16.825213203259256</v>
      </c>
    </row>
    <row r="24" spans="1:2" x14ac:dyDescent="0.25">
      <c r="A24" t="s">
        <v>29</v>
      </c>
      <c r="B24" s="9">
        <v>34.47116851399458</v>
      </c>
    </row>
    <row r="25" spans="1:2" x14ac:dyDescent="0.25">
      <c r="A25" t="s">
        <v>30</v>
      </c>
      <c r="B25" s="10">
        <v>7.234973888630724</v>
      </c>
    </row>
    <row r="26" spans="1:2" x14ac:dyDescent="0.25">
      <c r="A26" t="s">
        <v>31</v>
      </c>
      <c r="B26" s="10">
        <v>14.437288135457747</v>
      </c>
    </row>
    <row r="27" spans="1:2" x14ac:dyDescent="0.25">
      <c r="A27" t="s">
        <v>32</v>
      </c>
      <c r="B27" s="8">
        <v>14315389.149093702</v>
      </c>
    </row>
    <row r="28" spans="1:2" x14ac:dyDescent="0.25">
      <c r="A28" t="s">
        <v>33</v>
      </c>
      <c r="B28" s="9">
        <v>1.022527796363836</v>
      </c>
    </row>
    <row r="29" spans="1:2" x14ac:dyDescent="0.25">
      <c r="A29" t="s">
        <v>34</v>
      </c>
      <c r="B29" s="10">
        <v>33.711717800314005</v>
      </c>
    </row>
    <row r="30" spans="1:2" x14ac:dyDescent="0.25">
      <c r="A30" t="s">
        <v>35</v>
      </c>
      <c r="B30" s="9">
        <v>0.717948717948718</v>
      </c>
    </row>
    <row r="31" spans="1:2" x14ac:dyDescent="0.25">
      <c r="A31" t="s">
        <v>36</v>
      </c>
      <c r="B31" s="8">
        <v>17579069.066244878</v>
      </c>
    </row>
    <row r="32" spans="1:2" x14ac:dyDescent="0.25">
      <c r="A32" t="s">
        <v>37</v>
      </c>
      <c r="B32" s="8">
        <v>-14315389.149093699</v>
      </c>
    </row>
    <row r="34" spans="1:1" x14ac:dyDescent="0.25">
      <c r="A34" s="2" t="s">
        <v>76</v>
      </c>
    </row>
    <row r="35" spans="1:9" x14ac:dyDescent="0.25">
      <c r="A35" s="5" t="s">
        <v>39</v>
      </c>
      <c r="B35" s="6" t="s">
        <v>77</v>
      </c>
      <c r="C35" s="6" t="s">
        <v>78</v>
      </c>
      <c r="D35" s="6" t="s">
        <v>79</v>
      </c>
      <c r="E35" s="6" t="s">
        <v>80</v>
      </c>
      <c r="F35" s="6" t="s">
        <v>30</v>
      </c>
      <c r="G35" s="6" t="s">
        <v>31</v>
      </c>
      <c r="H35" s="6" t="s">
        <v>81</v>
      </c>
      <c r="I35" s="6" t="s">
        <v>82</v>
      </c>
    </row>
    <row r="36" spans="1:9" x14ac:dyDescent="0.25">
      <c r="A36" t="s">
        <v>57</v>
      </c>
      <c r="B36" s="8">
        <v>0</v>
      </c>
      <c r="C36" s="10">
        <v>0</v>
      </c>
      <c r="D36" s="3" t="s">
        <v>83</v>
      </c>
      <c r="E36" s="3" t="s">
        <v>84</v>
      </c>
      <c r="F36" s="3" t="s">
        <v>84</v>
      </c>
      <c r="G36" s="3" t="s">
        <v>84</v>
      </c>
      <c r="H36" s="3" t="s">
        <v>84</v>
      </c>
      <c r="I36" s="3" t="s">
        <v>84</v>
      </c>
    </row>
    <row r="37" spans="1:9" x14ac:dyDescent="0.25">
      <c r="A37" t="s">
        <v>58</v>
      </c>
      <c r="B37" s="8">
        <v>0</v>
      </c>
      <c r="C37" s="10">
        <v>0</v>
      </c>
      <c r="D37" s="3" t="s">
        <v>83</v>
      </c>
      <c r="E37" s="3" t="s">
        <v>84</v>
      </c>
      <c r="F37" s="3" t="s">
        <v>84</v>
      </c>
      <c r="G37" s="3" t="s">
        <v>84</v>
      </c>
      <c r="H37" s="3" t="s">
        <v>84</v>
      </c>
      <c r="I37" s="3" t="s">
        <v>84</v>
      </c>
    </row>
    <row r="38" spans="1:9" x14ac:dyDescent="0.25">
      <c r="A38" t="s">
        <v>59</v>
      </c>
      <c r="B38" s="8">
        <v>6999999.996</v>
      </c>
      <c r="C38" s="10">
        <v>5.83333333</v>
      </c>
      <c r="D38" s="8">
        <v>107541559.99688104</v>
      </c>
      <c r="E38" s="9">
        <v>0.4565493409788831</v>
      </c>
      <c r="F38" s="10">
        <v>5.445892883239257</v>
      </c>
      <c r="G38" s="10">
        <v>9.562230467173828</v>
      </c>
      <c r="H38" s="8">
        <v>12580397.426144525</v>
      </c>
      <c r="I38" s="9">
        <v>0.7289719626168224</v>
      </c>
    </row>
    <row r="39" spans="1:9" x14ac:dyDescent="0.25">
      <c r="A39" t="s">
        <v>60</v>
      </c>
      <c r="B39" s="8">
        <v>0</v>
      </c>
      <c r="C39" s="10">
        <v>0</v>
      </c>
      <c r="D39" s="3" t="s">
        <v>83</v>
      </c>
      <c r="E39" s="3" t="s">
        <v>84</v>
      </c>
      <c r="F39" s="3" t="s">
        <v>84</v>
      </c>
      <c r="G39" s="3" t="s">
        <v>84</v>
      </c>
      <c r="H39" s="3" t="s">
        <v>84</v>
      </c>
      <c r="I39" s="3" t="s">
        <v>84</v>
      </c>
    </row>
    <row r="40" spans="1:9" x14ac:dyDescent="0.25">
      <c r="A40" t="s">
        <v>61</v>
      </c>
      <c r="B40" s="8">
        <v>3499999.998</v>
      </c>
      <c r="C40" s="10">
        <v>2.916666665</v>
      </c>
      <c r="D40" s="8">
        <v>6564949.2087486</v>
      </c>
      <c r="E40" s="9">
        <v>0.02787037155589839</v>
      </c>
      <c r="F40" s="10">
        <v>3.021943202038066</v>
      </c>
      <c r="G40" s="10">
        <v>5.321449713491942</v>
      </c>
      <c r="H40" s="8">
        <v>1600876.8407518798</v>
      </c>
      <c r="I40" s="9">
        <v>0.8095238095238095</v>
      </c>
    </row>
    <row r="41" spans="1:9" x14ac:dyDescent="0.25">
      <c r="A41" t="s">
        <v>62</v>
      </c>
      <c r="B41" s="8">
        <v>3500000</v>
      </c>
      <c r="C41" s="10">
        <v>3.5</v>
      </c>
      <c r="D41" s="8">
        <v>51205659.82000001</v>
      </c>
      <c r="E41" s="9">
        <v>0.21738489051012366</v>
      </c>
      <c r="F41" s="10">
        <v>3.9011945701800754</v>
      </c>
      <c r="G41" s="10">
        <v>8.491454674243256</v>
      </c>
      <c r="H41" s="8">
        <v>6721576.12</v>
      </c>
      <c r="I41" s="9">
        <v>0.6666666666666666</v>
      </c>
    </row>
    <row r="42" spans="1:9" x14ac:dyDescent="0.25">
      <c r="A42" t="s">
        <v>63</v>
      </c>
      <c r="B42" s="8">
        <v>0</v>
      </c>
      <c r="C42" s="10">
        <v>0</v>
      </c>
      <c r="D42" s="3" t="s">
        <v>83</v>
      </c>
      <c r="E42" s="3" t="s">
        <v>84</v>
      </c>
      <c r="F42" s="3" t="s">
        <v>84</v>
      </c>
      <c r="G42" s="3" t="s">
        <v>84</v>
      </c>
      <c r="H42" s="3" t="s">
        <v>84</v>
      </c>
      <c r="I42" s="3" t="s">
        <v>84</v>
      </c>
    </row>
    <row r="43" spans="1:9" x14ac:dyDescent="0.25">
      <c r="A43" t="s">
        <v>64</v>
      </c>
      <c r="B43" s="8">
        <v>7000000</v>
      </c>
      <c r="C43" s="10">
        <v>7</v>
      </c>
      <c r="D43" s="8">
        <v>70240815.82</v>
      </c>
      <c r="E43" s="9">
        <v>0.298195396955095</v>
      </c>
      <c r="F43" s="10">
        <v>4.72081778604909</v>
      </c>
      <c r="G43" s="10">
        <v>9.192075458744055</v>
      </c>
      <c r="H43" s="8">
        <v>7411321.329999998</v>
      </c>
      <c r="I43" s="9">
        <v>0.8260869565217391</v>
      </c>
    </row>
    <row r="44" spans="1:9" x14ac:dyDescent="0.25">
      <c r="A44" t="s">
        <v>65</v>
      </c>
      <c r="B44" s="8">
        <v>0</v>
      </c>
      <c r="C44" s="10">
        <v>0</v>
      </c>
      <c r="D44" s="3" t="s">
        <v>83</v>
      </c>
      <c r="E44" s="3" t="s">
        <v>84</v>
      </c>
      <c r="F44" s="3" t="s">
        <v>84</v>
      </c>
      <c r="G44" s="3" t="s">
        <v>84</v>
      </c>
      <c r="H44" s="3" t="s">
        <v>84</v>
      </c>
      <c r="I44" s="3" t="s">
        <v>84</v>
      </c>
    </row>
    <row r="45" spans="1:9" x14ac:dyDescent="0.25">
      <c r="A45" t="s">
        <v>66</v>
      </c>
      <c r="B45" s="8">
        <v>0</v>
      </c>
      <c r="C45" s="10">
        <v>0</v>
      </c>
      <c r="D45" s="3" t="s">
        <v>83</v>
      </c>
      <c r="E45" s="3" t="s">
        <v>84</v>
      </c>
      <c r="F45" s="3" t="s">
        <v>84</v>
      </c>
      <c r="G45" s="3" t="s">
        <v>84</v>
      </c>
      <c r="H45" s="3" t="s">
        <v>84</v>
      </c>
      <c r="I45" s="3" t="s">
        <v>84</v>
      </c>
    </row>
  </sheetData>
  <conditionalFormatting sqref="B16:F16">
    <cfRule type="dataBar" priority="1">
      <dataBar>
        <cfvo type="num" val="0"/>
        <cfvo type="num" val="1"/>
        <color rgb="FF5B9DD9"/>
      </dataBar>
      <extLst>
        <ext xmlns:x14="http://schemas.microsoft.com/office/spreadsheetml/2009/9/main" uri="{B025F937-C7B1-47D3-B67F-A62EFF666E3E}">
          <x14:id>{8734B07B-6BC0-4277-9BD6-212E60D873E6}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34B07B-6BC0-4277-9BD6-212E60D873E6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B16:F16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 showGridLines="0"/>
  </sheetViews>
  <sheetFormatPr defaultRowHeight="15" outlineLevelRow="0" outlineLevelCol="0" x14ac:dyDescent="55"/>
  <cols>
    <col min="1" max="1" width="26" customWidth="1"/>
    <col min="2" max="9" width="15" customWidth="1"/>
  </cols>
  <sheetData>
    <row r="1" spans="1:1" x14ac:dyDescent="0.25">
      <c r="A1" s="1" t="s">
        <v>86</v>
      </c>
    </row>
    <row r="2" spans="1:2" x14ac:dyDescent="0.25">
      <c r="A2" t="s">
        <v>25</v>
      </c>
      <c r="B2" s="8">
        <v>253655603.6291667</v>
      </c>
    </row>
    <row r="4" spans="1:6" x14ac:dyDescent="0.25">
      <c r="A4" s="5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</row>
    <row r="5" spans="1:6" x14ac:dyDescent="0.25">
      <c r="A5" s="11" t="s">
        <v>57</v>
      </c>
      <c r="B5" s="12">
        <v>0</v>
      </c>
      <c r="C5" s="13">
        <v>0</v>
      </c>
      <c r="D5" s="12">
        <v>0</v>
      </c>
      <c r="E5" s="12">
        <v>0</v>
      </c>
      <c r="F5" s="12">
        <v>0</v>
      </c>
    </row>
    <row r="6" spans="1:6" x14ac:dyDescent="0.25">
      <c r="A6" s="11" t="s">
        <v>58</v>
      </c>
      <c r="B6" s="12">
        <v>0</v>
      </c>
      <c r="C6" s="13">
        <v>0</v>
      </c>
      <c r="D6" s="12">
        <v>0</v>
      </c>
      <c r="E6" s="12">
        <v>0</v>
      </c>
      <c r="F6" s="12">
        <v>0</v>
      </c>
    </row>
    <row r="7" spans="1:6" x14ac:dyDescent="0.25">
      <c r="A7" s="11" t="s">
        <v>59</v>
      </c>
      <c r="B7" s="12">
        <v>3499999.998</v>
      </c>
      <c r="C7" s="14">
        <v>6999999.996</v>
      </c>
      <c r="D7" s="15">
        <v>3499999.998</v>
      </c>
      <c r="E7" s="12">
        <v>3499999.998</v>
      </c>
      <c r="F7" s="12">
        <v>3499999.998</v>
      </c>
    </row>
    <row r="8" spans="1:6" x14ac:dyDescent="0.25">
      <c r="A8" s="11" t="s">
        <v>60</v>
      </c>
      <c r="B8" s="12">
        <v>0</v>
      </c>
      <c r="C8" s="13">
        <v>0</v>
      </c>
      <c r="D8" s="12">
        <v>0</v>
      </c>
      <c r="E8" s="12">
        <v>0</v>
      </c>
      <c r="F8" s="12">
        <v>0</v>
      </c>
    </row>
    <row r="9" spans="1:6" x14ac:dyDescent="0.25">
      <c r="A9" s="11" t="s">
        <v>61</v>
      </c>
      <c r="B9" s="12">
        <v>0</v>
      </c>
      <c r="C9" s="13">
        <v>0</v>
      </c>
      <c r="D9" s="12">
        <v>0</v>
      </c>
      <c r="E9" s="12">
        <v>0</v>
      </c>
      <c r="F9" s="16">
        <v>3499999.998</v>
      </c>
    </row>
    <row r="10" spans="1:6" x14ac:dyDescent="0.25">
      <c r="A10" s="11" t="s">
        <v>62</v>
      </c>
      <c r="B10" s="15">
        <v>7000000</v>
      </c>
      <c r="C10" s="17">
        <v>7000000</v>
      </c>
      <c r="D10" s="12">
        <v>0</v>
      </c>
      <c r="E10" s="18">
        <v>0</v>
      </c>
      <c r="F10" s="12">
        <v>0</v>
      </c>
    </row>
    <row r="11" spans="1:6" x14ac:dyDescent="0.25">
      <c r="A11" s="11" t="s">
        <v>63</v>
      </c>
      <c r="B11" s="12">
        <v>0</v>
      </c>
      <c r="C11" s="12">
        <v>0</v>
      </c>
      <c r="D11" s="12">
        <v>0</v>
      </c>
      <c r="E11" s="18">
        <v>0</v>
      </c>
      <c r="F11" s="12">
        <v>0</v>
      </c>
    </row>
    <row r="12" spans="1:6" x14ac:dyDescent="0.25">
      <c r="A12" s="11" t="s">
        <v>64</v>
      </c>
      <c r="B12" s="12">
        <v>0</v>
      </c>
      <c r="C12" s="12">
        <v>0</v>
      </c>
      <c r="D12" s="15">
        <v>3500000</v>
      </c>
      <c r="E12" s="19">
        <v>7000000</v>
      </c>
      <c r="F12" s="12">
        <v>0</v>
      </c>
    </row>
    <row r="13" spans="1:6" x14ac:dyDescent="0.25">
      <c r="A13" s="11" t="s">
        <v>65</v>
      </c>
      <c r="B13" s="12">
        <v>0</v>
      </c>
      <c r="C13" s="12">
        <v>0</v>
      </c>
      <c r="D13" s="12">
        <v>0</v>
      </c>
      <c r="E13" s="18">
        <v>0</v>
      </c>
      <c r="F13" s="12">
        <v>0</v>
      </c>
    </row>
    <row r="14" spans="1:6" x14ac:dyDescent="0.25">
      <c r="A14" s="11" t="s">
        <v>66</v>
      </c>
      <c r="B14" s="12">
        <v>0</v>
      </c>
      <c r="C14" s="12">
        <v>0</v>
      </c>
      <c r="D14" s="12">
        <v>0</v>
      </c>
      <c r="E14" s="18">
        <v>0</v>
      </c>
      <c r="F14" s="16">
        <v>7000000</v>
      </c>
    </row>
    <row r="15" spans="1:6" x14ac:dyDescent="0.25">
      <c r="A15" s="20" t="s">
        <v>67</v>
      </c>
      <c r="B15" s="21">
        <v>10499999.998</v>
      </c>
      <c r="C15" s="21">
        <v>13999999.996</v>
      </c>
      <c r="D15" s="21">
        <v>6999999.998</v>
      </c>
      <c r="E15" s="21">
        <v>10499999.998</v>
      </c>
      <c r="F15" s="21">
        <v>13999999.996</v>
      </c>
    </row>
    <row r="16" spans="1:6" x14ac:dyDescent="0.25">
      <c r="A16" s="22" t="s">
        <v>68</v>
      </c>
      <c r="B16" s="23">
        <v>0.7499999998571428</v>
      </c>
      <c r="C16" s="23">
        <v>0.9999999997142857</v>
      </c>
      <c r="D16" s="23">
        <v>0.49999999985714283</v>
      </c>
      <c r="E16" s="23">
        <v>0.7499999998571428</v>
      </c>
      <c r="F16" s="23">
        <v>0.9999999997142857</v>
      </c>
    </row>
    <row r="18" spans="1:5" x14ac:dyDescent="0.25">
      <c r="A18" s="24" t="s">
        <v>69</v>
      </c>
      <c r="B18" s="25" t="s">
        <v>70</v>
      </c>
      <c r="C18" s="26" t="s">
        <v>71</v>
      </c>
      <c r="D18" s="27" t="s">
        <v>72</v>
      </c>
      <c r="E18" s="28" t="s">
        <v>73</v>
      </c>
    </row>
    <row r="20" spans="1:1" x14ac:dyDescent="0.25">
      <c r="A20" s="2" t="s">
        <v>74</v>
      </c>
    </row>
    <row r="21" spans="1:1" x14ac:dyDescent="0.25">
      <c r="A21" t="s">
        <v>75</v>
      </c>
    </row>
    <row r="22" spans="1:2" x14ac:dyDescent="0.25">
      <c r="A22" t="s">
        <v>27</v>
      </c>
      <c r="B22" s="8">
        <v>292760924.93562967</v>
      </c>
    </row>
    <row r="23" spans="1:2" x14ac:dyDescent="0.25">
      <c r="A23" t="s">
        <v>28</v>
      </c>
      <c r="B23" s="9">
        <v>20.911494638259263</v>
      </c>
    </row>
    <row r="24" spans="1:2" x14ac:dyDescent="0.25">
      <c r="A24" t="s">
        <v>29</v>
      </c>
      <c r="B24" s="9">
        <v>42.8430621857019</v>
      </c>
    </row>
    <row r="25" spans="1:2" x14ac:dyDescent="0.25">
      <c r="A25" t="s">
        <v>30</v>
      </c>
      <c r="B25" s="10">
        <v>7.099286928522448</v>
      </c>
    </row>
    <row r="26" spans="1:2" x14ac:dyDescent="0.25">
      <c r="A26" t="s">
        <v>31</v>
      </c>
      <c r="B26" s="10">
        <v>15.3768547663223</v>
      </c>
    </row>
    <row r="27" spans="1:2" x14ac:dyDescent="0.25">
      <c r="A27" t="s">
        <v>32</v>
      </c>
      <c r="B27" s="8">
        <v>14315389.149093688</v>
      </c>
    </row>
    <row r="28" spans="1:2" x14ac:dyDescent="0.25">
      <c r="A28" t="s">
        <v>33</v>
      </c>
      <c r="B28" s="9">
        <v>1.0225277963638348</v>
      </c>
    </row>
    <row r="29" spans="1:2" x14ac:dyDescent="0.25">
      <c r="A29" t="s">
        <v>34</v>
      </c>
      <c r="B29" s="10">
        <v>41.89916629949248</v>
      </c>
    </row>
    <row r="30" spans="1:2" x14ac:dyDescent="0.25">
      <c r="A30" t="s">
        <v>35</v>
      </c>
      <c r="B30" s="9">
        <v>0.717948717948718</v>
      </c>
    </row>
    <row r="31" spans="1:2" x14ac:dyDescent="0.25">
      <c r="A31" t="s">
        <v>36</v>
      </c>
      <c r="B31" s="8">
        <v>25670002.371244878</v>
      </c>
    </row>
    <row r="32" spans="1:2" x14ac:dyDescent="0.25">
      <c r="A32" t="s">
        <v>37</v>
      </c>
      <c r="B32" s="8">
        <v>-14315389.149093699</v>
      </c>
    </row>
    <row r="34" spans="1:1" x14ac:dyDescent="0.25">
      <c r="A34" s="2" t="s">
        <v>76</v>
      </c>
    </row>
    <row r="35" spans="1:9" x14ac:dyDescent="0.25">
      <c r="A35" s="5" t="s">
        <v>39</v>
      </c>
      <c r="B35" s="6" t="s">
        <v>77</v>
      </c>
      <c r="C35" s="6" t="s">
        <v>78</v>
      </c>
      <c r="D35" s="6" t="s">
        <v>79</v>
      </c>
      <c r="E35" s="6" t="s">
        <v>80</v>
      </c>
      <c r="F35" s="6" t="s">
        <v>30</v>
      </c>
      <c r="G35" s="6" t="s">
        <v>31</v>
      </c>
      <c r="H35" s="6" t="s">
        <v>81</v>
      </c>
      <c r="I35" s="6" t="s">
        <v>82</v>
      </c>
    </row>
    <row r="36" spans="1:9" x14ac:dyDescent="0.25">
      <c r="A36" t="s">
        <v>57</v>
      </c>
      <c r="B36" s="8">
        <v>0</v>
      </c>
      <c r="C36" s="10">
        <v>0</v>
      </c>
      <c r="D36" s="3" t="s">
        <v>83</v>
      </c>
      <c r="E36" s="3" t="s">
        <v>84</v>
      </c>
      <c r="F36" s="3" t="s">
        <v>84</v>
      </c>
      <c r="G36" s="3" t="s">
        <v>84</v>
      </c>
      <c r="H36" s="3" t="s">
        <v>84</v>
      </c>
      <c r="I36" s="3" t="s">
        <v>84</v>
      </c>
    </row>
    <row r="37" spans="1:9" x14ac:dyDescent="0.25">
      <c r="A37" t="s">
        <v>58</v>
      </c>
      <c r="B37" s="8">
        <v>0</v>
      </c>
      <c r="C37" s="10">
        <v>0</v>
      </c>
      <c r="D37" s="3" t="s">
        <v>83</v>
      </c>
      <c r="E37" s="3" t="s">
        <v>84</v>
      </c>
      <c r="F37" s="3" t="s">
        <v>84</v>
      </c>
      <c r="G37" s="3" t="s">
        <v>84</v>
      </c>
      <c r="H37" s="3" t="s">
        <v>84</v>
      </c>
      <c r="I37" s="3" t="s">
        <v>84</v>
      </c>
    </row>
    <row r="38" spans="1:9" x14ac:dyDescent="0.25">
      <c r="A38" t="s">
        <v>59</v>
      </c>
      <c r="B38" s="8">
        <v>6999999.996</v>
      </c>
      <c r="C38" s="10">
        <v>5.83333333</v>
      </c>
      <c r="D38" s="8">
        <v>107541559.99688104</v>
      </c>
      <c r="E38" s="9">
        <v>0.3673357707164184</v>
      </c>
      <c r="F38" s="10">
        <v>5.445892883239257</v>
      </c>
      <c r="G38" s="10">
        <v>9.562230467173828</v>
      </c>
      <c r="H38" s="8">
        <v>12580397.426144525</v>
      </c>
      <c r="I38" s="9">
        <v>0.7289719626168224</v>
      </c>
    </row>
    <row r="39" spans="1:9" x14ac:dyDescent="0.25">
      <c r="A39" t="s">
        <v>60</v>
      </c>
      <c r="B39" s="8">
        <v>0</v>
      </c>
      <c r="C39" s="10">
        <v>0</v>
      </c>
      <c r="D39" s="3" t="s">
        <v>83</v>
      </c>
      <c r="E39" s="3" t="s">
        <v>84</v>
      </c>
      <c r="F39" s="3" t="s">
        <v>84</v>
      </c>
      <c r="G39" s="3" t="s">
        <v>84</v>
      </c>
      <c r="H39" s="3" t="s">
        <v>84</v>
      </c>
      <c r="I39" s="3" t="s">
        <v>84</v>
      </c>
    </row>
    <row r="40" spans="1:9" x14ac:dyDescent="0.25">
      <c r="A40" t="s">
        <v>61</v>
      </c>
      <c r="B40" s="8">
        <v>3499999.998</v>
      </c>
      <c r="C40" s="10">
        <v>2.916666665</v>
      </c>
      <c r="D40" s="8">
        <v>6564949.2087486</v>
      </c>
      <c r="E40" s="9">
        <v>0.022424267207763665</v>
      </c>
      <c r="F40" s="10">
        <v>3.021943202038066</v>
      </c>
      <c r="G40" s="10">
        <v>5.321449713491942</v>
      </c>
      <c r="H40" s="8">
        <v>1600876.8407518798</v>
      </c>
      <c r="I40" s="9">
        <v>0.8095238095238095</v>
      </c>
    </row>
    <row r="41" spans="1:9" x14ac:dyDescent="0.25">
      <c r="A41" t="s">
        <v>62</v>
      </c>
      <c r="B41" s="8">
        <v>7000000</v>
      </c>
      <c r="C41" s="10">
        <v>7</v>
      </c>
      <c r="D41" s="8">
        <v>102411319.64000002</v>
      </c>
      <c r="E41" s="9">
        <v>0.3498121194367641</v>
      </c>
      <c r="F41" s="10">
        <v>3.9011945701800754</v>
      </c>
      <c r="G41" s="10">
        <v>8.491454674243256</v>
      </c>
      <c r="H41" s="8">
        <v>13443152.24</v>
      </c>
      <c r="I41" s="9">
        <v>0.6666666666666666</v>
      </c>
    </row>
    <row r="42" spans="1:9" x14ac:dyDescent="0.25">
      <c r="A42" t="s">
        <v>63</v>
      </c>
      <c r="B42" s="8">
        <v>0</v>
      </c>
      <c r="C42" s="10">
        <v>0</v>
      </c>
      <c r="D42" s="3" t="s">
        <v>83</v>
      </c>
      <c r="E42" s="3" t="s">
        <v>84</v>
      </c>
      <c r="F42" s="3" t="s">
        <v>84</v>
      </c>
      <c r="G42" s="3" t="s">
        <v>84</v>
      </c>
      <c r="H42" s="3" t="s">
        <v>84</v>
      </c>
      <c r="I42" s="3" t="s">
        <v>84</v>
      </c>
    </row>
    <row r="43" spans="1:9" x14ac:dyDescent="0.25">
      <c r="A43" t="s">
        <v>64</v>
      </c>
      <c r="B43" s="8">
        <v>7000000</v>
      </c>
      <c r="C43" s="10">
        <v>7</v>
      </c>
      <c r="D43" s="8">
        <v>70240815.82</v>
      </c>
      <c r="E43" s="9">
        <v>0.2399255154540999</v>
      </c>
      <c r="F43" s="10">
        <v>4.72081778604909</v>
      </c>
      <c r="G43" s="10">
        <v>9.192075458744055</v>
      </c>
      <c r="H43" s="8">
        <v>7411321.329999998</v>
      </c>
      <c r="I43" s="9">
        <v>0.8260869565217391</v>
      </c>
    </row>
    <row r="44" spans="1:9" x14ac:dyDescent="0.25">
      <c r="A44" t="s">
        <v>65</v>
      </c>
      <c r="B44" s="8">
        <v>0</v>
      </c>
      <c r="C44" s="10">
        <v>0</v>
      </c>
      <c r="D44" s="3" t="s">
        <v>83</v>
      </c>
      <c r="E44" s="3" t="s">
        <v>84</v>
      </c>
      <c r="F44" s="3" t="s">
        <v>84</v>
      </c>
      <c r="G44" s="3" t="s">
        <v>84</v>
      </c>
      <c r="H44" s="3" t="s">
        <v>84</v>
      </c>
      <c r="I44" s="3" t="s">
        <v>84</v>
      </c>
    </row>
    <row r="45" spans="1:9" x14ac:dyDescent="0.25">
      <c r="A45" t="s">
        <v>66</v>
      </c>
      <c r="B45" s="8">
        <v>7000000</v>
      </c>
      <c r="C45" s="10">
        <v>7</v>
      </c>
      <c r="D45" s="8">
        <v>6002280.27</v>
      </c>
      <c r="E45" s="9">
        <v>0.02050232718495387</v>
      </c>
      <c r="F45" s="10">
        <v>1.5487652349028063</v>
      </c>
      <c r="G45" s="10">
        <v>2.631355858849434</v>
      </c>
      <c r="H45" s="8">
        <v>4069573.9700000007</v>
      </c>
      <c r="I45" s="9">
        <v>0.5454545454545454</v>
      </c>
    </row>
  </sheetData>
  <conditionalFormatting sqref="B16:F16">
    <cfRule type="dataBar" priority="1">
      <dataBar>
        <cfvo type="num" val="0"/>
        <cfvo type="num" val="1"/>
        <color rgb="FF5B9DD9"/>
      </dataBar>
      <extLst>
        <ext xmlns:x14="http://schemas.microsoft.com/office/spreadsheetml/2009/9/main" uri="{B025F937-C7B1-47D3-B67F-A62EFF666E3E}">
          <x14:id>{CAA3270A-717A-4C48-B9E6-73726830E147}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A3270A-717A-4C48-B9E6-73726830E147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B16:F16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Total utilization</vt:lpstr>
      <vt:lpstr>Worst-day utilization</vt:lpstr>
      <vt:lpstr>Risk-adjusted return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2026-10-08T10:32:09Z</dcterms:created>
  <dcterms:modified xsi:type="dcterms:W3CDTF">2026-10-08T10:32:09Z</dcterms:modified>
</cp:coreProperties>
</file>