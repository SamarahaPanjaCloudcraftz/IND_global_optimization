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34766328-B6DA-4E7E-97B8-13104505FCA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final" sheetId="3" state="hidden" r:id="rId1"/>
    <sheet name="ranges" sheetId="4" r:id="rId2"/>
    <sheet name="gamma threshold" sheetId="5" state="hidden" r:id="rId3"/>
    <sheet name="Sheet2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" i="4" l="1"/>
  <c r="P26" i="4"/>
  <c r="I26" i="4"/>
  <c r="I3" i="4"/>
  <c r="P45" i="4"/>
  <c r="I45" i="4"/>
  <c r="P39" i="4"/>
  <c r="I39" i="4"/>
  <c r="P28" i="4"/>
  <c r="I28" i="4"/>
  <c r="P36" i="4"/>
  <c r="P34" i="4"/>
  <c r="P32" i="4"/>
  <c r="P30" i="4"/>
  <c r="I36" i="4"/>
  <c r="I34" i="4"/>
  <c r="I32" i="4"/>
  <c r="I30" i="4"/>
  <c r="P23" i="4"/>
  <c r="P20" i="4"/>
  <c r="P17" i="4"/>
  <c r="I23" i="4"/>
  <c r="I20" i="4"/>
  <c r="I17" i="4"/>
  <c r="P10" i="4"/>
  <c r="P8" i="4"/>
  <c r="P49" i="4"/>
  <c r="P52" i="4" s="1"/>
  <c r="I10" i="4"/>
  <c r="I8" i="4"/>
  <c r="I49" i="4"/>
  <c r="I52" i="4" s="1"/>
  <c r="I54" i="4" s="1"/>
  <c r="Y7" i="3"/>
  <c r="T7" i="3"/>
  <c r="O7" i="3"/>
  <c r="J7" i="3"/>
  <c r="Y19" i="3"/>
  <c r="Y16" i="3"/>
  <c r="Y14" i="3"/>
  <c r="Y12" i="3"/>
  <c r="Y10" i="3"/>
  <c r="Y4" i="3"/>
  <c r="Y22" i="3"/>
  <c r="T19" i="3"/>
  <c r="T16" i="3"/>
  <c r="T14" i="3"/>
  <c r="T12" i="3"/>
  <c r="T10" i="3"/>
  <c r="T4" i="3"/>
  <c r="T22" i="3"/>
  <c r="O22" i="3"/>
  <c r="J22" i="3"/>
  <c r="O19" i="3"/>
  <c r="O16" i="3"/>
  <c r="O14" i="3"/>
  <c r="O12" i="3"/>
  <c r="O10" i="3"/>
  <c r="O4" i="3"/>
  <c r="K27" i="3" s="1"/>
  <c r="J19" i="3"/>
  <c r="J16" i="3"/>
  <c r="J14" i="3"/>
  <c r="J12" i="3"/>
  <c r="J10" i="3"/>
  <c r="J4" i="3"/>
  <c r="F27" i="3" s="1"/>
  <c r="K29" i="3"/>
  <c r="F29" i="3"/>
  <c r="H18" i="2"/>
  <c r="H20" i="2" s="1"/>
  <c r="G18" i="2"/>
  <c r="G20" i="2" s="1"/>
  <c r="F18" i="2"/>
  <c r="F20" i="2" s="1"/>
  <c r="E18" i="2"/>
  <c r="E20" i="2" s="1"/>
  <c r="P27" i="3" l="1"/>
  <c r="U27" i="3"/>
  <c r="U29" i="3"/>
  <c r="P29" i="3"/>
  <c r="D31" i="3" s="1"/>
</calcChain>
</file>

<file path=xl/sharedStrings.xml><?xml version="1.0" encoding="utf-8"?>
<sst xmlns="http://schemas.openxmlformats.org/spreadsheetml/2006/main" count="453" uniqueCount="163">
  <si>
    <t>Strategies</t>
  </si>
  <si>
    <t>S.No.</t>
  </si>
  <si>
    <t>Parameter</t>
  </si>
  <si>
    <t>Sub Parameter</t>
  </si>
  <si>
    <t>Indep for each weekday or not?</t>
  </si>
  <si>
    <t>NIFTY WW DOW</t>
  </si>
  <si>
    <t>NIFTY NW DOW</t>
  </si>
  <si>
    <t>SENSEX WW DOW</t>
  </si>
  <si>
    <t>SENSEX NW DOW</t>
  </si>
  <si>
    <t>Comments</t>
  </si>
  <si>
    <t>HEDGE OPTIMIZATION</t>
  </si>
  <si>
    <t>gamma hedging</t>
  </si>
  <si>
    <t>threshold,pct_hedge,otm_outstrike, trade direction</t>
  </si>
  <si>
    <t>{(0.002 - 0.2)*(0.25 - 1)*(50 delta)*(both)}</t>
  </si>
  <si>
    <t>{(0.002 - 0.2)*(0.25 - 1)*(0-50)*(long,short,both)}</t>
  </si>
  <si>
    <t xml:space="preserve">OTM outstrike can be set to 1(ATM) and direction can be set to both </t>
  </si>
  <si>
    <t>NO GAMMA HEDGING IN LIVE</t>
  </si>
  <si>
    <t>NOT LIVE</t>
  </si>
  <si>
    <t>Delta_hedging</t>
  </si>
  <si>
    <t>hedging mode,hedge_constant(per weekday),pct hedging</t>
  </si>
  <si>
    <t>{(AGH,AGH_IV,STATIC)*(10 values for each weekday)*(50-120)</t>
  </si>
  <si>
    <t xml:space="preserve">{(AGH,AGH_IV,STATIC)*(10 values for each weekday)*(50-120)} </t>
  </si>
  <si>
    <t>AGH_IV can be removed</t>
  </si>
  <si>
    <t>mon - thu : static,16bps fri: AGH_IV,13195 pct_hedging :1 in all</t>
  </si>
  <si>
    <t>Mon AGH IV -&gt; 537,810 , Tue AGH IV -&gt; 2,935,660 pct_hedging:1 in all</t>
  </si>
  <si>
    <t xml:space="preserve">all vanilla AGH mon: 4,000,000 ,tue: 1,066,667 ,wed:  8,000,000 , thu:4,000,000 </t>
  </si>
  <si>
    <t>SELL OPTIMIZATION</t>
  </si>
  <si>
    <t>condor_OTM_outstrike</t>
  </si>
  <si>
    <t>delta based wings</t>
  </si>
  <si>
    <t>{(2-10)}</t>
  </si>
  <si>
    <t>static spot based wings</t>
  </si>
  <si>
    <t>{(3-7)}</t>
  </si>
  <si>
    <t>{(2-6)}</t>
  </si>
  <si>
    <t>delta based strangle</t>
  </si>
  <si>
    <t>{(10-50)}</t>
  </si>
  <si>
    <t>static spot based strangle</t>
  </si>
  <si>
    <t>{(0 - 1)}</t>
  </si>
  <si>
    <t>wings:5% static spot based,straddle</t>
  </si>
  <si>
    <t>wings:4% static spot based,straddle</t>
  </si>
  <si>
    <t>short condor trade time</t>
  </si>
  <si>
    <t>start,stop</t>
  </si>
  <si>
    <t xml:space="preserve">{(9:17-11:17)*(12:30-14:30)} </t>
  </si>
  <si>
    <t xml:space="preserve">start : 9:17,stop:15:30 </t>
  </si>
  <si>
    <t>DOW signal strength</t>
  </si>
  <si>
    <t>sell only in a particular weekday in each run,unwind day,time</t>
  </si>
  <si>
    <t>-</t>
  </si>
  <si>
    <t>{(10000 - 00001)*(all exp days)*(10-15)}</t>
  </si>
  <si>
    <t>30200(mon - 3,wed - 2),tue,14:50</t>
  </si>
  <si>
    <t>50000(mon - 5),tue,14:50</t>
  </si>
  <si>
    <t>32000(mon - 3,tue - 2),thu,14:50</t>
  </si>
  <si>
    <t>IVWAP</t>
  </si>
  <si>
    <t>traded days per week</t>
  </si>
  <si>
    <t>total runs</t>
  </si>
  <si>
    <t>time needed for 3 months in each backtest job</t>
  </si>
  <si>
    <t>total time(hours)</t>
  </si>
  <si>
    <t>total time across strategies(D)</t>
  </si>
  <si>
    <t>AGH</t>
  </si>
  <si>
    <t>total time if OTM outstrike and direction in gamma hedge is not swept</t>
  </si>
  <si>
    <t xml:space="preserve">mon  </t>
  </si>
  <si>
    <t>tue</t>
  </si>
  <si>
    <t>wed</t>
  </si>
  <si>
    <t>thu</t>
  </si>
  <si>
    <t>fri</t>
  </si>
  <si>
    <t>100,000 - 10,000,000</t>
  </si>
  <si>
    <t>200,000 - 20,000,000</t>
  </si>
  <si>
    <t>50,000 - 5,000,000</t>
  </si>
  <si>
    <t>100,0000 - 10,000,000</t>
  </si>
  <si>
    <t>6,000,000 - 600,000,000</t>
  </si>
  <si>
    <t>400,000 - 40,000,000</t>
  </si>
  <si>
    <t>AGH IV</t>
  </si>
  <si>
    <t>6,500 - 650,000</t>
  </si>
  <si>
    <t>13,000 - 1,300,000</t>
  </si>
  <si>
    <t>2,600 - 260,000</t>
  </si>
  <si>
    <t>300,000 - 30,000,000</t>
  </si>
  <si>
    <t>26,000 - 2,600,000</t>
  </si>
  <si>
    <t>STATIC</t>
  </si>
  <si>
    <t>5bps-25bps</t>
  </si>
  <si>
    <t>remarks</t>
  </si>
  <si>
    <t>NIFTY DOW short vol</t>
  </si>
  <si>
    <t>SENSEX DOW short vol</t>
  </si>
  <si>
    <t>mon</t>
  </si>
  <si>
    <t>total</t>
  </si>
  <si>
    <t>gamma_threshold</t>
  </si>
  <si>
    <t>(-40 to -80)</t>
  </si>
  <si>
    <t>(-60 to -130)</t>
  </si>
  <si>
    <t>(-10 to -50)</t>
  </si>
  <si>
    <t>(-20 to -60)</t>
  </si>
  <si>
    <t>(-1  to -4)</t>
  </si>
  <si>
    <t>(-2 to -5)</t>
  </si>
  <si>
    <t>(-3 to -6)</t>
  </si>
  <si>
    <t>(-4.5 to -8.5)</t>
  </si>
  <si>
    <t>(-0.5 to -2.5)</t>
  </si>
  <si>
    <t>pct gamma hedge</t>
  </si>
  <si>
    <t>(0.25 -1)</t>
  </si>
  <si>
    <t>otm outstrike(delta)</t>
  </si>
  <si>
    <t>trade direction</t>
  </si>
  <si>
    <t>both</t>
  </si>
  <si>
    <t>delta hedging</t>
  </si>
  <si>
    <t>mode, constant</t>
  </si>
  <si>
    <t>percentage delta hedge</t>
  </si>
  <si>
    <t>50 - 120</t>
  </si>
  <si>
    <t>5 bps - 25 bps</t>
  </si>
  <si>
    <t>OTM outstrikes</t>
  </si>
  <si>
    <t>2% - 10%</t>
  </si>
  <si>
    <t>3% - 7%</t>
  </si>
  <si>
    <t>10% - 50%</t>
  </si>
  <si>
    <t>0% - 1%</t>
  </si>
  <si>
    <t>delta based strangle without wings</t>
  </si>
  <si>
    <t>static spot based strangle without wings</t>
  </si>
  <si>
    <t>3*5</t>
  </si>
  <si>
    <t>signal strength,unwind day,time</t>
  </si>
  <si>
    <t>unwind time</t>
  </si>
  <si>
    <t>10 AM - 3 PM</t>
  </si>
  <si>
    <t>"10000" * mon,tue</t>
  </si>
  <si>
    <t>"01000" * tue</t>
  </si>
  <si>
    <t>"00100" * wed,thu,fri,mon,tue</t>
  </si>
  <si>
    <t>"00010" * thu,fri,mon,tue</t>
  </si>
  <si>
    <t>"00001" * fri,mon,tue</t>
  </si>
  <si>
    <t>"10000" * mon,tue,wed,thu</t>
  </si>
  <si>
    <t>"01000" * tue,wed,thu</t>
  </si>
  <si>
    <t>"00100" * wed,thu</t>
  </si>
  <si>
    <t>"00010" * thu</t>
  </si>
  <si>
    <t>"00001" * fri,mon,tue,wed,thu</t>
  </si>
  <si>
    <t>AVERAGE TIME PER RUN(minutes)</t>
  </si>
  <si>
    <t>EXPECTED TIME(hours)</t>
  </si>
  <si>
    <t>total time(days)</t>
  </si>
  <si>
    <t xml:space="preserve"> </t>
  </si>
  <si>
    <t>stats</t>
  </si>
  <si>
    <t xml:space="preserve">mean </t>
  </si>
  <si>
    <t>mode</t>
  </si>
  <si>
    <t>std dev</t>
  </si>
  <si>
    <t>start-stop</t>
  </si>
  <si>
    <t>{(9-11)*(2-3:30)} = 9</t>
  </si>
  <si>
    <t>Same as D2</t>
  </si>
  <si>
    <t>Is this needed?</t>
  </si>
  <si>
    <t>gamam hedging</t>
  </si>
  <si>
    <t>Yes</t>
  </si>
  <si>
    <t>{(0.002 - 0.2)*(0.25 - 1)*(0-50)*(long,short,both)} = 300</t>
  </si>
  <si>
    <t>Same as D3</t>
  </si>
  <si>
    <t>iv upper thr,lower thr,iv decision</t>
  </si>
  <si>
    <t>{(5-35)*(5-25)*(upper,lower,both)} = 45</t>
  </si>
  <si>
    <t>Not needed</t>
  </si>
  <si>
    <t>trade_with received money</t>
  </si>
  <si>
    <t>{(TRUE,FALSE)}=2</t>
  </si>
  <si>
    <t>Same as D4</t>
  </si>
  <si>
    <t>allow frac_gamma_hedge</t>
  </si>
  <si>
    <t>Same as D5</t>
  </si>
  <si>
    <t xml:space="preserve">hedging mode,hedge_constant </t>
  </si>
  <si>
    <t>{(AGH,AGH_IV,STATIC)*(10 values for each weekday)}=110</t>
  </si>
  <si>
    <t>{(AGH,AGH_IV,STATIC)*(10 values for each weekday)}=50</t>
  </si>
  <si>
    <t>{(AGH,AGH_IV,STATIC)*(10 values for each weekday)}=90</t>
  </si>
  <si>
    <t>trade_time</t>
  </si>
  <si>
    <t>{(9-11)*(12-15)} = 16</t>
  </si>
  <si>
    <t>{(5-25)} = 5</t>
  </si>
  <si>
    <t>{(3-7)} = 4</t>
  </si>
  <si>
    <t>{(9-11)*(12-15)} = 15</t>
  </si>
  <si>
    <t>Switch hedging mode intraday</t>
  </si>
  <si>
    <t>mode A,mode B, switch time</t>
  </si>
  <si>
    <t>{(AGH,AGH_IV,STATIC)*(AGH,AGH_IV,STATIC)*(10-14}=45</t>
  </si>
  <si>
    <t>sell only in a particular weekday in each run</t>
  </si>
  <si>
    <t>{(10000 - 00001)} = 5</t>
  </si>
  <si>
    <t>{(10000 - 01000)} = 2</t>
  </si>
  <si>
    <t>{(10000 - 00010)} =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</si>
</sst>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164" fontId="0" fillId="3" borderId="0" xfId="0" applyNumberFormat="1" applyFill="1" applyAlignment="1">
      <alignment wrapText="1"/>
    </xf>
    <xf numFmtId="164" fontId="1" fillId="0" borderId="0" xfId="0" applyNumberFormat="1" applyFont="1" applyAlignment="1">
      <alignment wrapText="1"/>
    </xf>
    <xf numFmtId="0" fontId="1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1" fillId="5" borderId="0" xfId="0" applyFont="1" applyFill="1" applyAlignment="1">
      <alignment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wrapText="1"/>
    </xf>
    <xf numFmtId="0" fontId="1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horizontal="center" wrapText="1"/>
    </xf>
    <xf numFmtId="0" fontId="0" fillId="8" borderId="0" xfId="0" applyFill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6" borderId="0" xfId="0" applyFill="1"/>
    <xf numFmtId="0" fontId="1" fillId="3" borderId="0" xfId="0" applyFont="1" applyFill="1"/>
    <xf numFmtId="0" fontId="0" fillId="3" borderId="0" xfId="0" applyFill="1"/>
    <xf numFmtId="164" fontId="0" fillId="3" borderId="0" xfId="0" applyNumberFormat="1" applyFill="1"/>
    <xf numFmtId="164" fontId="1" fillId="0" borderId="0" xfId="0" applyNumberFormat="1" applyFont="1"/>
    <xf numFmtId="164" fontId="0" fillId="0" borderId="0" xfId="0" applyNumberFormat="1"/>
    <xf numFmtId="0" fontId="0" fillId="8" borderId="0" xfId="0" applyFill="1"/>
    <xf numFmtId="0" fontId="0" fillId="7" borderId="0" xfId="0" applyFill="1"/>
    <xf numFmtId="0" fontId="0" fillId="9" borderId="0" xfId="0" applyFill="1" applyAlignment="1">
      <alignment wrapText="1"/>
    </xf>
    <xf numFmtId="0" fontId="0" fillId="9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2" borderId="0" xfId="0" applyFill="1" applyAlignment="1">
      <alignment horizontal="center" wrapText="1"/>
    </xf>
    <xf numFmtId="0" fontId="2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2" fillId="0" borderId="0" xfId="0" applyFont="1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16" fontId="0" fillId="0" borderId="0" xfId="0" applyNumberFormat="1" applyBorder="1"/>
    <xf numFmtId="16" fontId="0" fillId="0" borderId="5" xfId="0" applyNumberFormat="1" applyBorder="1"/>
    <xf numFmtId="16" fontId="0" fillId="0" borderId="2" xfId="0" applyNumberFormat="1" applyBorder="1"/>
    <xf numFmtId="0" fontId="0" fillId="0" borderId="3" xfId="0" applyBorder="1"/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wrapText="1"/>
    </xf>
    <xf numFmtId="16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1788-9BC3-407D-A23C-36BB31C19A61}">
  <dimension ref="A1:Z41"/>
  <sheetViews>
    <sheetView topLeftCell="D1" workbookViewId="0">
      <selection activeCell="C21" sqref="C21:C23"/>
    </sheetView>
  </sheetViews>
  <sheetFormatPr defaultColWidth="9.140625" defaultRowHeight="15" customHeight="1"/>
  <cols>
    <col min="1" max="1" width="9.140625" bestFit="1" customWidth="1"/>
    <col min="2" max="2" width="18.42578125" bestFit="1" customWidth="1"/>
    <col min="3" max="3" width="32.7109375" customWidth="1"/>
    <col min="4" max="4" width="53.85546875" bestFit="1" customWidth="1"/>
    <col min="5" max="5" width="19.7109375" customWidth="1"/>
    <col min="6" max="6" width="14.7109375" bestFit="1" customWidth="1"/>
    <col min="7" max="7" width="13" customWidth="1"/>
    <col min="8" max="8" width="11.42578125" customWidth="1"/>
    <col min="9" max="9" width="10.85546875" customWidth="1"/>
    <col min="10" max="10" width="11" customWidth="1"/>
    <col min="11" max="11" width="13.7109375" customWidth="1"/>
    <col min="12" max="12" width="11.5703125" customWidth="1"/>
    <col min="13" max="13" width="7.85546875" customWidth="1"/>
    <col min="14" max="14" width="8" customWidth="1"/>
    <col min="15" max="15" width="8.5703125" customWidth="1"/>
    <col min="16" max="16" width="32.7109375" customWidth="1"/>
    <col min="17" max="18" width="9.140625" customWidth="1"/>
    <col min="19" max="19" width="10" customWidth="1"/>
    <col min="20" max="20" width="9.28515625" customWidth="1"/>
    <col min="21" max="21" width="14.5703125" customWidth="1"/>
    <col min="22" max="22" width="13.7109375" bestFit="1" customWidth="1"/>
    <col min="23" max="23" width="11.28515625" customWidth="1"/>
    <col min="24" max="24" width="11" customWidth="1"/>
    <col min="25" max="25" width="9.140625" customWidth="1"/>
    <col min="26" max="26" width="32.7109375" customWidth="1"/>
    <col min="27" max="27" width="4.42578125" customWidth="1"/>
    <col min="28" max="28" width="9.140625" bestFit="1" customWidth="1"/>
  </cols>
  <sheetData>
    <row r="1" spans="1:26">
      <c r="F1" s="39" t="s">
        <v>0</v>
      </c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21"/>
      <c r="W1" s="21"/>
      <c r="X1" s="21"/>
      <c r="Y1" s="21"/>
    </row>
    <row r="2" spans="1:26">
      <c r="A2" s="2" t="s">
        <v>1</v>
      </c>
      <c r="B2" s="2"/>
      <c r="C2" s="2" t="s">
        <v>2</v>
      </c>
      <c r="D2" s="2" t="s">
        <v>3</v>
      </c>
      <c r="E2" s="2" t="s">
        <v>4</v>
      </c>
      <c r="F2" s="39" t="s">
        <v>5</v>
      </c>
      <c r="G2" s="39"/>
      <c r="H2" s="39"/>
      <c r="I2" s="39"/>
      <c r="J2" s="39"/>
      <c r="K2" s="39" t="s">
        <v>6</v>
      </c>
      <c r="L2" s="39"/>
      <c r="M2" s="39"/>
      <c r="N2" s="39"/>
      <c r="O2" s="39"/>
      <c r="P2" s="39" t="s">
        <v>7</v>
      </c>
      <c r="Q2" s="39"/>
      <c r="R2" s="39"/>
      <c r="S2" s="39"/>
      <c r="T2" s="39"/>
      <c r="U2" s="22" t="s">
        <v>8</v>
      </c>
      <c r="V2" s="22"/>
      <c r="W2" s="22"/>
      <c r="X2" s="22"/>
      <c r="Y2" s="22"/>
      <c r="Z2" s="2" t="s">
        <v>9</v>
      </c>
    </row>
    <row r="3" spans="1:26" ht="45.75" customHeight="1">
      <c r="A3" s="36">
        <v>1</v>
      </c>
      <c r="B3" s="36" t="s">
        <v>10</v>
      </c>
      <c r="C3" s="36" t="s">
        <v>11</v>
      </c>
      <c r="D3" s="37" t="s">
        <v>12</v>
      </c>
      <c r="E3" s="36">
        <v>1</v>
      </c>
      <c r="F3" s="33" t="s">
        <v>13</v>
      </c>
      <c r="G3" s="33"/>
      <c r="H3" s="33"/>
      <c r="I3" s="33"/>
      <c r="J3" s="33"/>
      <c r="K3" s="33" t="s">
        <v>14</v>
      </c>
      <c r="L3" s="33"/>
      <c r="M3" s="33"/>
      <c r="N3" s="33"/>
      <c r="O3" s="33"/>
      <c r="P3" s="33" t="s">
        <v>14</v>
      </c>
      <c r="Q3" s="33"/>
      <c r="R3" s="33"/>
      <c r="S3" s="33"/>
      <c r="T3" s="33"/>
      <c r="U3" s="33" t="s">
        <v>14</v>
      </c>
      <c r="V3" s="33"/>
      <c r="W3" s="33"/>
      <c r="X3" s="33"/>
      <c r="Y3" s="33"/>
      <c r="Z3" s="23" t="s">
        <v>15</v>
      </c>
    </row>
    <row r="4" spans="1:26">
      <c r="A4" s="36"/>
      <c r="B4" s="36"/>
      <c r="C4" s="36"/>
      <c r="D4" s="37"/>
      <c r="E4" s="36"/>
      <c r="F4">
        <v>4</v>
      </c>
      <c r="G4">
        <v>5</v>
      </c>
      <c r="H4">
        <v>1</v>
      </c>
      <c r="I4">
        <v>1</v>
      </c>
      <c r="J4">
        <f>F4*G4*H4*I4 + E3*(F26-1)*F4*G4*H4*I4</f>
        <v>100</v>
      </c>
      <c r="K4">
        <v>4</v>
      </c>
      <c r="L4">
        <v>5</v>
      </c>
      <c r="M4">
        <v>1</v>
      </c>
      <c r="N4">
        <v>1</v>
      </c>
      <c r="O4">
        <f>K4*L4*M4*N4 + E3*(K26-1)*K4*L4*M4*N4</f>
        <v>40</v>
      </c>
      <c r="P4">
        <v>4</v>
      </c>
      <c r="Q4">
        <v>5</v>
      </c>
      <c r="R4">
        <v>1</v>
      </c>
      <c r="S4">
        <v>1</v>
      </c>
      <c r="T4">
        <f>P4*Q4*R4*S4 + E3*(P26-1)*P4*Q4*R4*S4</f>
        <v>100</v>
      </c>
      <c r="U4">
        <v>4</v>
      </c>
      <c r="V4">
        <v>5</v>
      </c>
      <c r="W4">
        <v>1</v>
      </c>
      <c r="X4">
        <v>1</v>
      </c>
      <c r="Y4">
        <f>U4*V4*W4*X4 + E3*(U26-1)*U4*V4*W4*X4</f>
        <v>80</v>
      </c>
      <c r="Z4" s="23"/>
    </row>
    <row r="5" spans="1:26">
      <c r="A5" s="36"/>
      <c r="B5" s="36"/>
      <c r="C5" s="36"/>
      <c r="D5" s="37"/>
      <c r="E5" s="36"/>
      <c r="F5" s="35" t="s">
        <v>16</v>
      </c>
      <c r="G5" s="35"/>
      <c r="H5" s="35"/>
      <c r="I5" s="35"/>
      <c r="J5" s="35"/>
      <c r="K5" s="35" t="s">
        <v>16</v>
      </c>
      <c r="L5" s="35"/>
      <c r="M5" s="35"/>
      <c r="N5" s="35"/>
      <c r="O5" s="35"/>
      <c r="P5" s="40" t="s">
        <v>17</v>
      </c>
      <c r="Q5" s="40"/>
      <c r="R5" s="40"/>
      <c r="S5" s="40"/>
      <c r="T5" s="40"/>
      <c r="U5" s="35" t="s">
        <v>16</v>
      </c>
      <c r="V5" s="35"/>
      <c r="W5" s="35"/>
      <c r="X5" s="35"/>
      <c r="Y5" s="35"/>
      <c r="Z5" s="23"/>
    </row>
    <row r="6" spans="1:26" ht="60.75" customHeight="1">
      <c r="A6" s="36">
        <v>2</v>
      </c>
      <c r="B6" s="36"/>
      <c r="C6" s="36" t="s">
        <v>18</v>
      </c>
      <c r="D6" s="36" t="s">
        <v>19</v>
      </c>
      <c r="E6" s="36">
        <v>1</v>
      </c>
      <c r="F6" s="33" t="s">
        <v>20</v>
      </c>
      <c r="G6" s="33"/>
      <c r="H6" s="33"/>
      <c r="I6" s="33"/>
      <c r="J6" s="33"/>
      <c r="K6" s="34" t="s">
        <v>21</v>
      </c>
      <c r="L6" s="34"/>
      <c r="M6" s="34"/>
      <c r="N6" s="34"/>
      <c r="O6" s="34"/>
      <c r="P6" s="33" t="s">
        <v>20</v>
      </c>
      <c r="Q6" s="33"/>
      <c r="R6" s="33"/>
      <c r="S6" s="33"/>
      <c r="T6" s="33"/>
      <c r="U6" s="33" t="s">
        <v>20</v>
      </c>
      <c r="V6" s="33"/>
      <c r="W6" s="33"/>
      <c r="X6" s="33"/>
      <c r="Y6" s="33"/>
      <c r="Z6" s="23" t="s">
        <v>22</v>
      </c>
    </row>
    <row r="7" spans="1:26">
      <c r="A7" s="36"/>
      <c r="B7" s="36"/>
      <c r="C7" s="36"/>
      <c r="D7" s="36"/>
      <c r="E7" s="36"/>
      <c r="F7">
        <v>3</v>
      </c>
      <c r="G7">
        <v>10</v>
      </c>
      <c r="H7">
        <v>8</v>
      </c>
      <c r="J7">
        <f>F7*G7*H7 + E6*(F26-1)*F7*G7*H7</f>
        <v>1200</v>
      </c>
      <c r="K7">
        <v>3</v>
      </c>
      <c r="L7">
        <v>10</v>
      </c>
      <c r="M7">
        <v>8</v>
      </c>
      <c r="O7">
        <f>K7*L7*M7 + E6*(K26-1)*K7*L7*M7</f>
        <v>480</v>
      </c>
      <c r="P7">
        <v>3</v>
      </c>
      <c r="Q7">
        <v>10</v>
      </c>
      <c r="R7">
        <v>8</v>
      </c>
      <c r="T7">
        <f>P7*Q7*R7 + E6*(P26-1)*P7*Q7*R7</f>
        <v>1200</v>
      </c>
      <c r="U7">
        <v>3</v>
      </c>
      <c r="V7">
        <v>10</v>
      </c>
      <c r="W7">
        <v>8</v>
      </c>
      <c r="Y7">
        <f>U7*V7*W7 + E6*(U26-1)*U7*V7*W7</f>
        <v>960</v>
      </c>
      <c r="Z7" s="23"/>
    </row>
    <row r="8" spans="1:26" s="1" customFormat="1" ht="41.25" customHeight="1">
      <c r="A8" s="36"/>
      <c r="B8" s="36"/>
      <c r="C8" s="36"/>
      <c r="D8" s="36"/>
      <c r="E8" s="36"/>
      <c r="F8" s="38" t="s">
        <v>23</v>
      </c>
      <c r="G8" s="38"/>
      <c r="H8" s="38"/>
      <c r="I8" s="38"/>
      <c r="J8" s="38"/>
      <c r="K8" s="38" t="s">
        <v>24</v>
      </c>
      <c r="L8" s="38"/>
      <c r="M8" s="38"/>
      <c r="N8" s="38"/>
      <c r="O8" s="38"/>
      <c r="P8" s="34" t="s">
        <v>17</v>
      </c>
      <c r="Q8" s="34"/>
      <c r="R8" s="34"/>
      <c r="S8" s="34"/>
      <c r="T8" s="34"/>
      <c r="U8" s="38" t="s">
        <v>25</v>
      </c>
      <c r="V8" s="38"/>
      <c r="W8" s="38"/>
      <c r="X8" s="38"/>
      <c r="Y8" s="38"/>
      <c r="Z8" s="14"/>
    </row>
    <row r="9" spans="1:26">
      <c r="A9" s="36">
        <v>3</v>
      </c>
      <c r="B9" s="36" t="s">
        <v>26</v>
      </c>
      <c r="C9" s="36" t="s">
        <v>27</v>
      </c>
      <c r="D9" s="36" t="s">
        <v>28</v>
      </c>
      <c r="E9" s="36">
        <v>1</v>
      </c>
      <c r="F9" s="33" t="s">
        <v>29</v>
      </c>
      <c r="G9" s="33"/>
      <c r="H9" s="33"/>
      <c r="I9" s="33"/>
      <c r="J9" s="33"/>
      <c r="K9" s="33" t="s">
        <v>29</v>
      </c>
      <c r="L9" s="33"/>
      <c r="M9" s="33"/>
      <c r="N9" s="33"/>
      <c r="O9" s="33"/>
      <c r="P9" s="33" t="s">
        <v>29</v>
      </c>
      <c r="Q9" s="33"/>
      <c r="R9" s="33"/>
      <c r="S9" s="33"/>
      <c r="T9" s="33"/>
      <c r="U9" s="33" t="s">
        <v>29</v>
      </c>
      <c r="V9" s="33"/>
      <c r="W9" s="33"/>
      <c r="X9" s="33"/>
      <c r="Y9" s="33"/>
    </row>
    <row r="10" spans="1:26">
      <c r="A10" s="36"/>
      <c r="B10" s="36"/>
      <c r="C10" s="36"/>
      <c r="D10" s="36"/>
      <c r="E10" s="36"/>
      <c r="F10">
        <v>5</v>
      </c>
      <c r="G10" s="16"/>
      <c r="H10" s="16"/>
      <c r="I10" s="16"/>
      <c r="J10">
        <f>F10 + E9*(F26-1)*F10</f>
        <v>25</v>
      </c>
      <c r="K10">
        <v>5</v>
      </c>
      <c r="L10" s="16"/>
      <c r="M10" s="16"/>
      <c r="N10" s="16"/>
      <c r="O10">
        <f>K10 + E9*(K26-1)*K10</f>
        <v>10</v>
      </c>
      <c r="P10">
        <v>5</v>
      </c>
      <c r="Q10" s="16"/>
      <c r="R10" s="16"/>
      <c r="S10" s="16"/>
      <c r="T10">
        <f>P10 + E9*(P26-1)*P10</f>
        <v>25</v>
      </c>
      <c r="U10">
        <v>5</v>
      </c>
      <c r="V10" s="16"/>
      <c r="W10" s="16"/>
      <c r="X10" s="16"/>
      <c r="Y10">
        <f>U10 + E9*(U26-1)*U10</f>
        <v>20</v>
      </c>
    </row>
    <row r="11" spans="1:26">
      <c r="A11" s="36"/>
      <c r="B11" s="36"/>
      <c r="C11" s="36"/>
      <c r="D11" s="36" t="s">
        <v>30</v>
      </c>
      <c r="E11" s="36">
        <v>1</v>
      </c>
      <c r="F11" s="33" t="s">
        <v>31</v>
      </c>
      <c r="G11" s="33"/>
      <c r="H11" s="33"/>
      <c r="I11" s="33"/>
      <c r="J11" s="33"/>
      <c r="K11" s="33" t="s">
        <v>31</v>
      </c>
      <c r="L11" s="33"/>
      <c r="M11" s="33"/>
      <c r="N11" s="33"/>
      <c r="O11" s="33"/>
      <c r="P11" s="33" t="s">
        <v>31</v>
      </c>
      <c r="Q11" s="33"/>
      <c r="R11" s="33"/>
      <c r="S11" s="33"/>
      <c r="T11" s="33"/>
      <c r="U11" s="33" t="s">
        <v>32</v>
      </c>
      <c r="V11" s="33"/>
      <c r="W11" s="33"/>
      <c r="X11" s="33"/>
      <c r="Y11" s="33"/>
    </row>
    <row r="12" spans="1:26">
      <c r="A12" s="36"/>
      <c r="B12" s="36"/>
      <c r="C12" s="36"/>
      <c r="D12" s="36"/>
      <c r="E12" s="36"/>
      <c r="F12">
        <v>4</v>
      </c>
      <c r="J12">
        <f>F12 + E11*(F26-1)*F12</f>
        <v>20</v>
      </c>
      <c r="K12">
        <v>4</v>
      </c>
      <c r="O12">
        <f>K12 + E11*(K26-1)*K12</f>
        <v>8</v>
      </c>
      <c r="P12">
        <v>4</v>
      </c>
      <c r="T12">
        <f>P12 + E11*(P26-1)*P12</f>
        <v>20</v>
      </c>
      <c r="U12">
        <v>4</v>
      </c>
      <c r="Y12">
        <f>U12 + E11*(U26-1)*U12</f>
        <v>16</v>
      </c>
    </row>
    <row r="13" spans="1:26">
      <c r="A13" s="36"/>
      <c r="B13" s="36"/>
      <c r="C13" s="36"/>
      <c r="D13" s="37" t="s">
        <v>33</v>
      </c>
      <c r="E13" s="36">
        <v>1</v>
      </c>
      <c r="F13" s="33" t="s">
        <v>34</v>
      </c>
      <c r="G13" s="33"/>
      <c r="H13" s="33"/>
      <c r="I13" s="33"/>
      <c r="J13" s="33"/>
      <c r="K13" s="33" t="s">
        <v>34</v>
      </c>
      <c r="L13" s="33"/>
      <c r="M13" s="33"/>
      <c r="N13" s="33"/>
      <c r="O13" s="33"/>
      <c r="P13" s="33" t="s">
        <v>34</v>
      </c>
      <c r="Q13" s="33"/>
      <c r="R13" s="33"/>
      <c r="S13" s="33"/>
      <c r="T13" s="33"/>
      <c r="U13" s="33" t="s">
        <v>34</v>
      </c>
      <c r="V13" s="33"/>
      <c r="W13" s="33"/>
      <c r="X13" s="33"/>
      <c r="Y13" s="33"/>
    </row>
    <row r="14" spans="1:26">
      <c r="A14" s="36"/>
      <c r="B14" s="36"/>
      <c r="C14" s="36"/>
      <c r="D14" s="37"/>
      <c r="E14" s="36"/>
      <c r="F14">
        <v>5</v>
      </c>
      <c r="J14">
        <f>F14 + E13*(F26-1)*F14</f>
        <v>25</v>
      </c>
      <c r="K14">
        <v>5</v>
      </c>
      <c r="O14">
        <f>K14 + E13*(K26-1)*K14</f>
        <v>10</v>
      </c>
      <c r="P14">
        <v>5</v>
      </c>
      <c r="T14">
        <f>P14 + E13*(P26-1)*P14</f>
        <v>25</v>
      </c>
      <c r="U14">
        <v>5</v>
      </c>
      <c r="Y14">
        <f>U14 + E13*(U26-1)*U14</f>
        <v>20</v>
      </c>
    </row>
    <row r="15" spans="1:26">
      <c r="A15" s="36"/>
      <c r="B15" s="36"/>
      <c r="C15" s="36"/>
      <c r="D15" s="36" t="s">
        <v>35</v>
      </c>
      <c r="E15" s="36">
        <v>1</v>
      </c>
      <c r="F15" s="33" t="s">
        <v>36</v>
      </c>
      <c r="G15" s="33"/>
      <c r="H15" s="33"/>
      <c r="I15" s="33"/>
      <c r="J15" s="33"/>
      <c r="K15" s="33" t="s">
        <v>36</v>
      </c>
      <c r="L15" s="33"/>
      <c r="M15" s="33"/>
      <c r="N15" s="33"/>
      <c r="O15" s="33"/>
      <c r="P15" s="33" t="s">
        <v>36</v>
      </c>
      <c r="Q15" s="33"/>
      <c r="R15" s="33"/>
      <c r="S15" s="33"/>
      <c r="T15" s="33"/>
      <c r="U15" s="33" t="s">
        <v>36</v>
      </c>
      <c r="V15" s="33"/>
      <c r="W15" s="33"/>
      <c r="X15" s="33"/>
      <c r="Y15" s="33"/>
    </row>
    <row r="16" spans="1:26">
      <c r="A16" s="36"/>
      <c r="B16" s="36"/>
      <c r="C16" s="36"/>
      <c r="D16" s="36"/>
      <c r="E16" s="36"/>
      <c r="F16">
        <v>10</v>
      </c>
      <c r="G16" s="16"/>
      <c r="H16" s="16"/>
      <c r="I16" s="16"/>
      <c r="J16">
        <f>F16 + E15*(F26-1)*F16</f>
        <v>50</v>
      </c>
      <c r="K16">
        <v>10</v>
      </c>
      <c r="L16" s="16"/>
      <c r="M16" s="16"/>
      <c r="N16" s="16"/>
      <c r="O16">
        <f>K16 + E15*(K26-1)*K16</f>
        <v>20</v>
      </c>
      <c r="P16">
        <v>10</v>
      </c>
      <c r="Q16" s="16"/>
      <c r="R16" s="16"/>
      <c r="S16" s="16"/>
      <c r="T16">
        <f>P16 + E15*(P26-1)*P16</f>
        <v>50</v>
      </c>
      <c r="U16">
        <v>10</v>
      </c>
      <c r="V16" s="16"/>
      <c r="W16" s="16"/>
      <c r="X16" s="16"/>
      <c r="Y16">
        <f>U16 + E15*(U26-1)*U16</f>
        <v>40</v>
      </c>
    </row>
    <row r="17" spans="1:25">
      <c r="A17" s="36"/>
      <c r="B17" s="36"/>
      <c r="C17" s="36"/>
      <c r="D17" s="36"/>
      <c r="E17" s="36"/>
      <c r="F17" s="35" t="s">
        <v>37</v>
      </c>
      <c r="G17" s="35"/>
      <c r="H17" s="35"/>
      <c r="I17" s="35"/>
      <c r="J17" s="35"/>
      <c r="K17" s="35" t="s">
        <v>37</v>
      </c>
      <c r="L17" s="35"/>
      <c r="M17" s="35"/>
      <c r="N17" s="35"/>
      <c r="O17" s="35"/>
      <c r="Q17" s="16"/>
      <c r="R17" s="16"/>
      <c r="S17" s="16"/>
      <c r="U17" s="35" t="s">
        <v>38</v>
      </c>
      <c r="V17" s="35"/>
      <c r="W17" s="35"/>
      <c r="X17" s="35"/>
      <c r="Y17" s="35"/>
    </row>
    <row r="18" spans="1:25" ht="30.75" customHeight="1">
      <c r="A18" s="36">
        <v>4</v>
      </c>
      <c r="B18" s="36"/>
      <c r="C18" s="36" t="s">
        <v>39</v>
      </c>
      <c r="D18" s="36" t="s">
        <v>40</v>
      </c>
      <c r="E18" s="36">
        <v>1</v>
      </c>
      <c r="F18" s="33" t="s">
        <v>41</v>
      </c>
      <c r="G18" s="33"/>
      <c r="H18" s="33"/>
      <c r="I18" s="33"/>
      <c r="J18" s="33"/>
      <c r="K18" s="33" t="s">
        <v>41</v>
      </c>
      <c r="L18" s="33"/>
      <c r="M18" s="33"/>
      <c r="N18" s="33"/>
      <c r="O18" s="33"/>
      <c r="P18" s="33" t="s">
        <v>41</v>
      </c>
      <c r="Q18" s="33"/>
      <c r="R18" s="33"/>
      <c r="S18" s="33"/>
      <c r="T18" s="33"/>
      <c r="U18" s="33" t="s">
        <v>41</v>
      </c>
      <c r="V18" s="33"/>
      <c r="W18" s="33"/>
      <c r="X18" s="33"/>
      <c r="Y18" s="33"/>
    </row>
    <row r="19" spans="1:25">
      <c r="A19" s="36"/>
      <c r="B19" s="36"/>
      <c r="C19" s="36"/>
      <c r="D19" s="36"/>
      <c r="E19" s="36"/>
      <c r="F19">
        <v>3</v>
      </c>
      <c r="G19">
        <v>5</v>
      </c>
      <c r="J19">
        <f>F19*G19 + E18*(F26-1)*F19*G19</f>
        <v>75</v>
      </c>
      <c r="K19">
        <v>3</v>
      </c>
      <c r="L19">
        <v>5</v>
      </c>
      <c r="O19">
        <f>K19*L19 + E18*(K26-1)*K19*L19</f>
        <v>30</v>
      </c>
      <c r="P19">
        <v>3</v>
      </c>
      <c r="Q19">
        <v>5</v>
      </c>
      <c r="T19">
        <f>P19*Q19 + E18*(P26-1)*P19*Q19</f>
        <v>75</v>
      </c>
      <c r="U19">
        <v>3</v>
      </c>
      <c r="V19">
        <v>5</v>
      </c>
      <c r="Y19">
        <f>U19*V19 + E18*(U26-1)*U19*V19</f>
        <v>60</v>
      </c>
    </row>
    <row r="20" spans="1:25">
      <c r="A20" s="36"/>
      <c r="B20" s="36"/>
      <c r="C20" s="36"/>
      <c r="D20" s="36"/>
      <c r="E20" s="36"/>
      <c r="F20" s="35" t="s">
        <v>42</v>
      </c>
      <c r="G20" s="35"/>
      <c r="H20" s="35"/>
      <c r="I20" s="35"/>
      <c r="J20" s="35"/>
      <c r="K20" s="35" t="s">
        <v>42</v>
      </c>
      <c r="L20" s="35"/>
      <c r="M20" s="35"/>
      <c r="N20" s="35"/>
      <c r="O20" s="35"/>
      <c r="U20" s="35" t="s">
        <v>42</v>
      </c>
      <c r="V20" s="35"/>
      <c r="W20" s="35"/>
      <c r="X20" s="35"/>
      <c r="Y20" s="35"/>
    </row>
    <row r="21" spans="1:25" ht="30.75" customHeight="1">
      <c r="A21" s="36">
        <v>5</v>
      </c>
      <c r="B21" s="36"/>
      <c r="C21" s="36" t="s">
        <v>43</v>
      </c>
      <c r="D21" s="37" t="s">
        <v>44</v>
      </c>
      <c r="E21" s="36" t="s">
        <v>45</v>
      </c>
      <c r="F21" s="33" t="s">
        <v>46</v>
      </c>
      <c r="G21" s="33"/>
      <c r="H21" s="33"/>
      <c r="I21" s="33"/>
      <c r="J21" s="33"/>
      <c r="K21" s="33" t="s">
        <v>46</v>
      </c>
      <c r="L21" s="33"/>
      <c r="M21" s="33"/>
      <c r="N21" s="33"/>
      <c r="O21" s="33"/>
      <c r="P21" s="33" t="s">
        <v>46</v>
      </c>
      <c r="Q21" s="33"/>
      <c r="R21" s="33"/>
      <c r="S21" s="33"/>
      <c r="T21" s="33"/>
      <c r="U21" s="33" t="s">
        <v>46</v>
      </c>
      <c r="V21" s="33"/>
      <c r="W21" s="33"/>
      <c r="X21" s="33"/>
      <c r="Y21" s="33"/>
    </row>
    <row r="22" spans="1:25">
      <c r="A22" s="36"/>
      <c r="B22" s="36"/>
      <c r="C22" s="36"/>
      <c r="D22" s="37"/>
      <c r="E22" s="36"/>
      <c r="F22">
        <v>5</v>
      </c>
      <c r="G22">
        <v>5</v>
      </c>
      <c r="H22">
        <v>6</v>
      </c>
      <c r="J22">
        <f>F22*G22*H22</f>
        <v>150</v>
      </c>
      <c r="K22">
        <v>2</v>
      </c>
      <c r="L22">
        <v>2</v>
      </c>
      <c r="M22">
        <v>6</v>
      </c>
      <c r="O22">
        <f>K22*L22*M22</f>
        <v>24</v>
      </c>
      <c r="P22">
        <v>5</v>
      </c>
      <c r="Q22">
        <v>5</v>
      </c>
      <c r="R22">
        <v>6</v>
      </c>
      <c r="T22">
        <f>P22*Q22*R22</f>
        <v>150</v>
      </c>
      <c r="U22">
        <v>4</v>
      </c>
      <c r="V22">
        <v>4</v>
      </c>
      <c r="W22">
        <v>6</v>
      </c>
      <c r="Y22">
        <f>U22*V22*W22</f>
        <v>96</v>
      </c>
    </row>
    <row r="23" spans="1:25">
      <c r="A23" s="36"/>
      <c r="B23" s="36"/>
      <c r="C23" s="36"/>
      <c r="D23" s="37"/>
      <c r="E23" s="36"/>
      <c r="F23" s="35" t="s">
        <v>47</v>
      </c>
      <c r="G23" s="35"/>
      <c r="H23" s="35"/>
      <c r="I23" s="35"/>
      <c r="J23" s="35"/>
      <c r="K23" s="35" t="s">
        <v>48</v>
      </c>
      <c r="L23" s="35"/>
      <c r="M23" s="35"/>
      <c r="N23" s="35"/>
      <c r="O23" s="35"/>
      <c r="U23" s="35" t="s">
        <v>49</v>
      </c>
      <c r="V23" s="35"/>
      <c r="W23" s="35"/>
      <c r="X23" s="35"/>
      <c r="Y23" s="35"/>
    </row>
    <row r="24" spans="1:25">
      <c r="A24" s="15">
        <v>6</v>
      </c>
      <c r="B24" s="36"/>
      <c r="C24" s="15" t="s">
        <v>50</v>
      </c>
      <c r="D24" s="15"/>
      <c r="E24" s="15"/>
    </row>
    <row r="25" spans="1:25">
      <c r="C25" s="2"/>
      <c r="D25" s="2"/>
      <c r="E25" s="2"/>
    </row>
    <row r="26" spans="1:25">
      <c r="C26" s="24" t="s">
        <v>51</v>
      </c>
      <c r="D26" s="24"/>
      <c r="E26" s="24"/>
      <c r="F26" s="25">
        <v>5</v>
      </c>
      <c r="G26" s="25"/>
      <c r="H26" s="25"/>
      <c r="I26" s="25"/>
      <c r="J26" s="25"/>
      <c r="K26" s="25">
        <v>2</v>
      </c>
      <c r="L26" s="25"/>
      <c r="M26" s="25"/>
      <c r="N26" s="25"/>
      <c r="O26" s="25"/>
      <c r="P26" s="25">
        <v>5</v>
      </c>
      <c r="Q26" s="25"/>
      <c r="R26" s="25"/>
      <c r="S26" s="25"/>
      <c r="T26" s="25"/>
      <c r="U26" s="25">
        <v>4</v>
      </c>
      <c r="V26" s="25"/>
      <c r="W26" s="25"/>
      <c r="X26" s="25"/>
      <c r="Y26" s="25"/>
    </row>
    <row r="27" spans="1:25">
      <c r="C27" s="24" t="s">
        <v>52</v>
      </c>
      <c r="D27" s="24"/>
      <c r="E27" s="24"/>
      <c r="F27" s="25">
        <f>J4+J7+J10+J12+J14+J16+J19+J22</f>
        <v>1645</v>
      </c>
      <c r="G27" s="25"/>
      <c r="H27" s="25"/>
      <c r="I27" s="25"/>
      <c r="J27" s="25"/>
      <c r="K27" s="25">
        <f>O4+O7+O10+O12+O14+O16+O19+O22</f>
        <v>622</v>
      </c>
      <c r="L27" s="25"/>
      <c r="M27" s="25"/>
      <c r="N27" s="25"/>
      <c r="O27" s="25"/>
      <c r="P27" s="25">
        <f>T4+T7+T10+T12+T14+T16+T19+T22</f>
        <v>1645</v>
      </c>
      <c r="Q27" s="25"/>
      <c r="R27" s="25"/>
      <c r="S27" s="25"/>
      <c r="T27" s="25"/>
      <c r="U27" s="25">
        <f>Y4+Y7+Y10+Y12+Y14+Y16+Y19+Y22</f>
        <v>1292</v>
      </c>
      <c r="V27" s="25"/>
      <c r="W27" s="25"/>
      <c r="X27" s="25"/>
      <c r="Y27" s="25"/>
    </row>
    <row r="28" spans="1:25">
      <c r="C28" s="24" t="s">
        <v>53</v>
      </c>
      <c r="D28" s="24"/>
      <c r="E28" s="24"/>
      <c r="F28" s="25">
        <v>1.67</v>
      </c>
      <c r="G28" s="25"/>
      <c r="H28" s="25"/>
      <c r="I28" s="25"/>
      <c r="J28" s="25"/>
      <c r="K28" s="25">
        <v>0.67</v>
      </c>
      <c r="L28" s="25"/>
      <c r="M28" s="25"/>
      <c r="N28" s="25"/>
      <c r="O28" s="25"/>
      <c r="P28" s="25">
        <v>2</v>
      </c>
      <c r="Q28" s="25"/>
      <c r="R28" s="25"/>
      <c r="S28" s="25"/>
      <c r="T28" s="25"/>
      <c r="U28" s="25">
        <v>1.33</v>
      </c>
      <c r="V28" s="25"/>
      <c r="W28" s="25"/>
      <c r="X28" s="25"/>
      <c r="Y28" s="25"/>
    </row>
    <row r="29" spans="1:25">
      <c r="C29" s="24" t="s">
        <v>54</v>
      </c>
      <c r="D29" s="24"/>
      <c r="E29" s="24"/>
      <c r="F29" s="26">
        <f>F27*F28/60</f>
        <v>45.785833333333336</v>
      </c>
      <c r="G29" s="26"/>
      <c r="H29" s="26"/>
      <c r="I29" s="26"/>
      <c r="J29" s="26"/>
      <c r="K29" s="26">
        <f>K27*K28/60</f>
        <v>6.9456666666666669</v>
      </c>
      <c r="L29" s="26"/>
      <c r="M29" s="26"/>
      <c r="N29" s="26"/>
      <c r="O29" s="26"/>
      <c r="P29" s="26">
        <f>P27*P28/60</f>
        <v>54.833333333333336</v>
      </c>
      <c r="Q29" s="26"/>
      <c r="R29" s="26"/>
      <c r="S29" s="26"/>
      <c r="T29" s="26"/>
      <c r="U29" s="26">
        <f>U27*U28/60</f>
        <v>28.639333333333337</v>
      </c>
      <c r="V29" s="26"/>
      <c r="W29" s="26"/>
      <c r="X29" s="26"/>
      <c r="Y29" s="26"/>
    </row>
    <row r="30" spans="1:25">
      <c r="P30" s="2"/>
      <c r="Q30" s="2"/>
      <c r="R30" s="2"/>
      <c r="S30" s="2"/>
      <c r="T30" s="2"/>
      <c r="U30" s="27"/>
      <c r="V30" s="27"/>
      <c r="W30" s="27"/>
      <c r="X30" s="27"/>
      <c r="Y30" s="27"/>
    </row>
    <row r="31" spans="1:25">
      <c r="C31" t="s">
        <v>55</v>
      </c>
      <c r="D31" s="28">
        <f>(F29+K29+P29+U29)/24</f>
        <v>5.675173611111112</v>
      </c>
      <c r="F31" s="42" t="s">
        <v>56</v>
      </c>
      <c r="G31" s="42"/>
      <c r="H31" s="42"/>
      <c r="I31" s="42"/>
      <c r="J31" s="42"/>
      <c r="K31" s="41" t="s">
        <v>56</v>
      </c>
      <c r="L31" s="41"/>
      <c r="U31" s="42" t="s">
        <v>56</v>
      </c>
      <c r="V31" s="42"/>
      <c r="W31" s="42"/>
      <c r="X31" s="42"/>
    </row>
    <row r="32" spans="1:25" hidden="1">
      <c r="C32" s="23" t="s">
        <v>57</v>
      </c>
      <c r="D32" s="23">
        <v>2</v>
      </c>
      <c r="F32" s="29"/>
      <c r="G32" s="29"/>
      <c r="H32" s="29"/>
      <c r="I32" s="29"/>
      <c r="J32" s="29"/>
      <c r="K32" s="30"/>
      <c r="L32" s="30"/>
      <c r="U32" s="29"/>
      <c r="V32" s="29"/>
      <c r="W32" s="29"/>
      <c r="X32" s="29"/>
    </row>
    <row r="33" spans="6:24">
      <c r="F33" s="29" t="s">
        <v>58</v>
      </c>
      <c r="G33" s="29" t="s">
        <v>59</v>
      </c>
      <c r="H33" s="29" t="s">
        <v>60</v>
      </c>
      <c r="I33" s="29" t="s">
        <v>61</v>
      </c>
      <c r="J33" s="29" t="s">
        <v>62</v>
      </c>
      <c r="K33" s="30" t="s">
        <v>58</v>
      </c>
      <c r="L33" s="30" t="s">
        <v>59</v>
      </c>
      <c r="U33" s="29" t="s">
        <v>58</v>
      </c>
      <c r="V33" s="29" t="s">
        <v>59</v>
      </c>
      <c r="W33" s="29" t="s">
        <v>60</v>
      </c>
      <c r="X33" s="29" t="s">
        <v>61</v>
      </c>
    </row>
    <row r="34" spans="6:24" ht="30.75">
      <c r="F34" s="20" t="s">
        <v>63</v>
      </c>
      <c r="G34" s="20" t="s">
        <v>64</v>
      </c>
      <c r="H34" s="19" t="s">
        <v>65</v>
      </c>
      <c r="I34" s="19" t="s">
        <v>65</v>
      </c>
      <c r="J34" s="20" t="s">
        <v>63</v>
      </c>
      <c r="K34" s="18" t="s">
        <v>66</v>
      </c>
      <c r="L34" s="17" t="s">
        <v>67</v>
      </c>
      <c r="U34" s="20" t="s">
        <v>64</v>
      </c>
      <c r="V34" s="20" t="s">
        <v>64</v>
      </c>
      <c r="W34" s="20" t="s">
        <v>68</v>
      </c>
      <c r="X34" s="20" t="s">
        <v>68</v>
      </c>
    </row>
    <row r="35" spans="6:24">
      <c r="F35" s="42" t="s">
        <v>69</v>
      </c>
      <c r="G35" s="42"/>
      <c r="H35" s="42"/>
      <c r="I35" s="42"/>
      <c r="J35" s="42"/>
      <c r="K35" s="41" t="s">
        <v>69</v>
      </c>
      <c r="L35" s="41"/>
      <c r="U35" s="42" t="s">
        <v>69</v>
      </c>
      <c r="V35" s="42"/>
      <c r="W35" s="42"/>
      <c r="X35" s="42"/>
    </row>
    <row r="36" spans="6:24">
      <c r="F36" s="29" t="s">
        <v>58</v>
      </c>
      <c r="G36" s="29" t="s">
        <v>59</v>
      </c>
      <c r="H36" s="29" t="s">
        <v>60</v>
      </c>
      <c r="I36" s="29" t="s">
        <v>61</v>
      </c>
      <c r="J36" s="29" t="s">
        <v>62</v>
      </c>
      <c r="K36" s="30" t="s">
        <v>58</v>
      </c>
      <c r="L36" s="30" t="s">
        <v>59</v>
      </c>
      <c r="U36" s="29" t="s">
        <v>58</v>
      </c>
      <c r="V36" s="29" t="s">
        <v>59</v>
      </c>
      <c r="W36" s="29" t="s">
        <v>60</v>
      </c>
      <c r="X36" s="29" t="s">
        <v>61</v>
      </c>
    </row>
    <row r="37" spans="6:24" ht="30.75">
      <c r="F37" s="20" t="s">
        <v>70</v>
      </c>
      <c r="G37" s="20" t="s">
        <v>71</v>
      </c>
      <c r="H37" s="20" t="s">
        <v>72</v>
      </c>
      <c r="I37" s="20" t="s">
        <v>72</v>
      </c>
      <c r="J37" s="20" t="s">
        <v>72</v>
      </c>
      <c r="K37" s="18" t="s">
        <v>65</v>
      </c>
      <c r="L37" s="18" t="s">
        <v>73</v>
      </c>
      <c r="U37" s="19" t="s">
        <v>70</v>
      </c>
      <c r="V37" s="19" t="s">
        <v>70</v>
      </c>
      <c r="W37" s="29" t="s">
        <v>71</v>
      </c>
      <c r="X37" s="29" t="s">
        <v>74</v>
      </c>
    </row>
    <row r="38" spans="6:24">
      <c r="F38" s="42" t="s">
        <v>75</v>
      </c>
      <c r="G38" s="42"/>
      <c r="H38" s="42"/>
      <c r="I38" s="42"/>
      <c r="J38" s="42"/>
      <c r="K38" s="41" t="s">
        <v>75</v>
      </c>
      <c r="L38" s="41"/>
      <c r="U38" s="42" t="s">
        <v>75</v>
      </c>
      <c r="V38" s="42"/>
      <c r="W38" s="42"/>
      <c r="X38" s="42"/>
    </row>
    <row r="39" spans="6:24">
      <c r="F39" s="29" t="s">
        <v>58</v>
      </c>
      <c r="G39" s="29" t="s">
        <v>59</v>
      </c>
      <c r="H39" s="29" t="s">
        <v>60</v>
      </c>
      <c r="I39" s="29" t="s">
        <v>61</v>
      </c>
      <c r="J39" s="29" t="s">
        <v>62</v>
      </c>
      <c r="K39" s="30" t="s">
        <v>58</v>
      </c>
      <c r="L39" s="30" t="s">
        <v>59</v>
      </c>
      <c r="U39" s="29" t="s">
        <v>58</v>
      </c>
      <c r="V39" s="29" t="s">
        <v>59</v>
      </c>
      <c r="W39" s="29" t="s">
        <v>60</v>
      </c>
      <c r="X39" s="29" t="s">
        <v>61</v>
      </c>
    </row>
    <row r="40" spans="6:24">
      <c r="F40" s="29" t="s">
        <v>76</v>
      </c>
      <c r="G40" s="29" t="s">
        <v>76</v>
      </c>
      <c r="H40" s="29" t="s">
        <v>76</v>
      </c>
      <c r="I40" s="29" t="s">
        <v>76</v>
      </c>
      <c r="J40" s="29" t="s">
        <v>76</v>
      </c>
      <c r="K40" s="30" t="s">
        <v>76</v>
      </c>
      <c r="L40" s="30" t="s">
        <v>76</v>
      </c>
      <c r="U40" s="29" t="s">
        <v>76</v>
      </c>
      <c r="V40" s="29" t="s">
        <v>76</v>
      </c>
      <c r="W40" s="29" t="s">
        <v>76</v>
      </c>
      <c r="X40" s="29" t="s">
        <v>76</v>
      </c>
    </row>
    <row r="41" spans="6:24" ht="30.75" customHeight="1">
      <c r="F41" s="42" t="s">
        <v>5</v>
      </c>
      <c r="G41" s="42"/>
      <c r="H41" s="42"/>
      <c r="I41" s="42"/>
      <c r="J41" s="42"/>
      <c r="K41" s="41" t="s">
        <v>6</v>
      </c>
      <c r="L41" s="41"/>
      <c r="U41" s="42" t="s">
        <v>8</v>
      </c>
      <c r="V41" s="42"/>
      <c r="W41" s="42"/>
      <c r="X41" s="42"/>
    </row>
  </sheetData>
  <mergeCells count="93">
    <mergeCell ref="K41:L41"/>
    <mergeCell ref="F41:J41"/>
    <mergeCell ref="U31:X31"/>
    <mergeCell ref="U35:X35"/>
    <mergeCell ref="U38:X38"/>
    <mergeCell ref="U41:X41"/>
    <mergeCell ref="F31:J31"/>
    <mergeCell ref="F35:J35"/>
    <mergeCell ref="F38:J38"/>
    <mergeCell ref="K31:L31"/>
    <mergeCell ref="K35:L35"/>
    <mergeCell ref="K38:L38"/>
    <mergeCell ref="A9:A17"/>
    <mergeCell ref="F1:U1"/>
    <mergeCell ref="F2:J2"/>
    <mergeCell ref="F3:J3"/>
    <mergeCell ref="D9:D10"/>
    <mergeCell ref="E9:E10"/>
    <mergeCell ref="F11:J11"/>
    <mergeCell ref="E13:E14"/>
    <mergeCell ref="F9:J9"/>
    <mergeCell ref="B9:B24"/>
    <mergeCell ref="F17:J17"/>
    <mergeCell ref="F20:J20"/>
    <mergeCell ref="C18:C20"/>
    <mergeCell ref="D18:D20"/>
    <mergeCell ref="E18:E20"/>
    <mergeCell ref="F18:J18"/>
    <mergeCell ref="F21:J21"/>
    <mergeCell ref="F13:J13"/>
    <mergeCell ref="K2:O2"/>
    <mergeCell ref="P2:T2"/>
    <mergeCell ref="P3:T3"/>
    <mergeCell ref="P6:T6"/>
    <mergeCell ref="P9:T9"/>
    <mergeCell ref="K3:O3"/>
    <mergeCell ref="K6:O6"/>
    <mergeCell ref="K9:O9"/>
    <mergeCell ref="K5:O5"/>
    <mergeCell ref="P5:T5"/>
    <mergeCell ref="F8:J8"/>
    <mergeCell ref="K8:O8"/>
    <mergeCell ref="P8:T8"/>
    <mergeCell ref="F6:J6"/>
    <mergeCell ref="U3:Y3"/>
    <mergeCell ref="U6:Y6"/>
    <mergeCell ref="U9:Y9"/>
    <mergeCell ref="U11:Y11"/>
    <mergeCell ref="U13:Y13"/>
    <mergeCell ref="U5:Y5"/>
    <mergeCell ref="U8:Y8"/>
    <mergeCell ref="A3:A5"/>
    <mergeCell ref="C3:C5"/>
    <mergeCell ref="D3:D5"/>
    <mergeCell ref="E3:E5"/>
    <mergeCell ref="F5:J5"/>
    <mergeCell ref="B3:B8"/>
    <mergeCell ref="C6:C8"/>
    <mergeCell ref="D6:D8"/>
    <mergeCell ref="E6:E8"/>
    <mergeCell ref="A6:A8"/>
    <mergeCell ref="K17:O17"/>
    <mergeCell ref="U17:Y17"/>
    <mergeCell ref="C9:C17"/>
    <mergeCell ref="D15:D17"/>
    <mergeCell ref="E15:E17"/>
    <mergeCell ref="P11:T11"/>
    <mergeCell ref="P13:T13"/>
    <mergeCell ref="U15:Y15"/>
    <mergeCell ref="P15:T15"/>
    <mergeCell ref="K11:O11"/>
    <mergeCell ref="K13:O13"/>
    <mergeCell ref="K15:O15"/>
    <mergeCell ref="F15:J15"/>
    <mergeCell ref="D11:D12"/>
    <mergeCell ref="D13:D14"/>
    <mergeCell ref="E11:E12"/>
    <mergeCell ref="K20:O20"/>
    <mergeCell ref="U20:Y20"/>
    <mergeCell ref="A21:A23"/>
    <mergeCell ref="C21:C23"/>
    <mergeCell ref="D21:D23"/>
    <mergeCell ref="E21:E23"/>
    <mergeCell ref="F23:J23"/>
    <mergeCell ref="K23:O23"/>
    <mergeCell ref="U23:Y23"/>
    <mergeCell ref="A18:A20"/>
    <mergeCell ref="K18:O18"/>
    <mergeCell ref="K21:O21"/>
    <mergeCell ref="P18:T18"/>
    <mergeCell ref="P21:T21"/>
    <mergeCell ref="U18:Y18"/>
    <mergeCell ref="U21:Y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3F28-D170-489A-8705-C3096D7CC18C}">
  <dimension ref="A1:P65"/>
  <sheetViews>
    <sheetView tabSelected="1" workbookViewId="0">
      <selection activeCell="R13" sqref="R13"/>
    </sheetView>
  </sheetViews>
  <sheetFormatPr defaultRowHeight="15"/>
  <cols>
    <col min="1" max="1" width="22.42578125" bestFit="1" customWidth="1"/>
    <col min="2" max="2" width="23.7109375" bestFit="1" customWidth="1"/>
    <col min="3" max="3" width="17.140625" customWidth="1"/>
    <col min="4" max="4" width="12.85546875" customWidth="1"/>
    <col min="5" max="5" width="13.28515625" bestFit="1" customWidth="1"/>
    <col min="6" max="6" width="11.5703125" customWidth="1"/>
    <col min="7" max="9" width="13.28515625" bestFit="1" customWidth="1"/>
    <col min="11" max="16" width="13.28515625" bestFit="1" customWidth="1"/>
  </cols>
  <sheetData>
    <row r="1" spans="1:16">
      <c r="C1" t="s">
        <v>77</v>
      </c>
      <c r="D1" s="33" t="s">
        <v>78</v>
      </c>
      <c r="E1" s="33"/>
      <c r="F1" s="33"/>
      <c r="G1" s="33"/>
      <c r="H1" s="33"/>
      <c r="I1" s="16"/>
      <c r="K1" s="33" t="s">
        <v>79</v>
      </c>
      <c r="L1" s="33"/>
      <c r="M1" s="33"/>
      <c r="N1" s="33"/>
      <c r="O1" s="33"/>
    </row>
    <row r="2" spans="1:16">
      <c r="D2" t="s">
        <v>80</v>
      </c>
      <c r="E2" t="s">
        <v>59</v>
      </c>
      <c r="F2" t="s">
        <v>60</v>
      </c>
      <c r="G2" t="s">
        <v>61</v>
      </c>
      <c r="H2" t="s">
        <v>62</v>
      </c>
      <c r="I2" t="s">
        <v>81</v>
      </c>
      <c r="K2" t="s">
        <v>80</v>
      </c>
      <c r="L2" t="s">
        <v>59</v>
      </c>
      <c r="M2" t="s">
        <v>60</v>
      </c>
      <c r="N2" t="s">
        <v>61</v>
      </c>
      <c r="O2" t="s">
        <v>62</v>
      </c>
      <c r="P2" t="s">
        <v>81</v>
      </c>
    </row>
    <row r="3" spans="1:16">
      <c r="A3" s="46" t="s">
        <v>11</v>
      </c>
      <c r="B3" s="47" t="s">
        <v>82</v>
      </c>
      <c r="C3" s="48"/>
      <c r="D3" s="48" t="s">
        <v>83</v>
      </c>
      <c r="E3" s="48" t="s">
        <v>84</v>
      </c>
      <c r="F3" s="48" t="s">
        <v>85</v>
      </c>
      <c r="G3" s="48" t="s">
        <v>86</v>
      </c>
      <c r="H3" s="48" t="s">
        <v>86</v>
      </c>
      <c r="I3" s="49">
        <f>D4*D6+E4*E6+F4*F6+G4*G6+H4*H6</f>
        <v>125</v>
      </c>
      <c r="J3" s="48"/>
      <c r="K3" s="48" t="s">
        <v>87</v>
      </c>
      <c r="L3" s="48" t="s">
        <v>88</v>
      </c>
      <c r="M3" s="48" t="s">
        <v>89</v>
      </c>
      <c r="N3" s="48" t="s">
        <v>90</v>
      </c>
      <c r="O3" s="48" t="s">
        <v>91</v>
      </c>
      <c r="P3" s="50">
        <f>K4*K6+L4*L6+M4*M6+N4*N6+O4*O6</f>
        <v>125</v>
      </c>
    </row>
    <row r="4" spans="1:16">
      <c r="A4" s="51"/>
      <c r="B4" s="52"/>
      <c r="C4" s="53"/>
      <c r="D4" s="53">
        <v>5</v>
      </c>
      <c r="E4" s="53">
        <v>5</v>
      </c>
      <c r="F4" s="53">
        <v>5</v>
      </c>
      <c r="G4" s="53">
        <v>5</v>
      </c>
      <c r="H4" s="53">
        <v>5</v>
      </c>
      <c r="I4" s="54"/>
      <c r="J4" s="53"/>
      <c r="K4" s="53">
        <v>5</v>
      </c>
      <c r="L4" s="53">
        <v>5</v>
      </c>
      <c r="M4" s="53">
        <v>5</v>
      </c>
      <c r="N4" s="53">
        <v>5</v>
      </c>
      <c r="O4" s="53">
        <v>5</v>
      </c>
      <c r="P4" s="55"/>
    </row>
    <row r="5" spans="1:16">
      <c r="A5" s="51"/>
      <c r="B5" s="52" t="s">
        <v>92</v>
      </c>
      <c r="C5" s="53"/>
      <c r="D5" s="53" t="s">
        <v>93</v>
      </c>
      <c r="E5" s="53" t="s">
        <v>93</v>
      </c>
      <c r="F5" s="53" t="s">
        <v>93</v>
      </c>
      <c r="G5" s="53" t="s">
        <v>93</v>
      </c>
      <c r="H5" s="53" t="s">
        <v>93</v>
      </c>
      <c r="I5" s="54"/>
      <c r="J5" s="53"/>
      <c r="K5" s="53" t="s">
        <v>93</v>
      </c>
      <c r="L5" s="53" t="s">
        <v>93</v>
      </c>
      <c r="M5" s="53" t="s">
        <v>93</v>
      </c>
      <c r="N5" s="53" t="s">
        <v>93</v>
      </c>
      <c r="O5" s="53" t="s">
        <v>93</v>
      </c>
      <c r="P5" s="55"/>
    </row>
    <row r="6" spans="1:16">
      <c r="A6" s="51"/>
      <c r="B6" s="52"/>
      <c r="C6" s="53"/>
      <c r="D6" s="53">
        <v>5</v>
      </c>
      <c r="E6" s="53">
        <v>5</v>
      </c>
      <c r="F6" s="53">
        <v>5</v>
      </c>
      <c r="G6" s="53">
        <v>5</v>
      </c>
      <c r="H6" s="53">
        <v>5</v>
      </c>
      <c r="I6" s="54"/>
      <c r="J6" s="53"/>
      <c r="K6" s="53">
        <v>5</v>
      </c>
      <c r="L6" s="53">
        <v>5</v>
      </c>
      <c r="M6" s="53">
        <v>5</v>
      </c>
      <c r="N6" s="53">
        <v>5</v>
      </c>
      <c r="O6" s="53">
        <v>5</v>
      </c>
      <c r="P6" s="55"/>
    </row>
    <row r="7" spans="1:16">
      <c r="A7" s="51"/>
      <c r="B7" s="52" t="s">
        <v>94</v>
      </c>
      <c r="C7" s="53"/>
      <c r="D7" s="53">
        <v>50</v>
      </c>
      <c r="E7" s="53">
        <v>50</v>
      </c>
      <c r="F7" s="53">
        <v>50</v>
      </c>
      <c r="G7" s="53">
        <v>50</v>
      </c>
      <c r="H7" s="53">
        <v>50</v>
      </c>
      <c r="I7" s="53"/>
      <c r="J7" s="53"/>
      <c r="K7" s="53">
        <v>50</v>
      </c>
      <c r="L7" s="53">
        <v>50</v>
      </c>
      <c r="M7" s="53">
        <v>50</v>
      </c>
      <c r="N7" s="53">
        <v>50</v>
      </c>
      <c r="O7" s="53">
        <v>50</v>
      </c>
      <c r="P7" s="56"/>
    </row>
    <row r="8" spans="1:16">
      <c r="A8" s="51"/>
      <c r="B8" s="52"/>
      <c r="C8" s="53"/>
      <c r="D8" s="53">
        <v>0</v>
      </c>
      <c r="E8" s="53">
        <v>0</v>
      </c>
      <c r="F8" s="53">
        <v>0</v>
      </c>
      <c r="G8" s="53">
        <v>0</v>
      </c>
      <c r="H8" s="53">
        <v>0</v>
      </c>
      <c r="I8" s="53">
        <f>SUM(D8:H8)</f>
        <v>0</v>
      </c>
      <c r="J8" s="53"/>
      <c r="K8" s="53">
        <v>0</v>
      </c>
      <c r="L8" s="53">
        <v>0</v>
      </c>
      <c r="M8" s="53">
        <v>0</v>
      </c>
      <c r="N8" s="53">
        <v>0</v>
      </c>
      <c r="O8" s="53">
        <v>0</v>
      </c>
      <c r="P8" s="56">
        <f>SUM(K8:O8)</f>
        <v>0</v>
      </c>
    </row>
    <row r="9" spans="1:16">
      <c r="A9" s="51"/>
      <c r="B9" s="52" t="s">
        <v>95</v>
      </c>
      <c r="C9" s="53"/>
      <c r="D9" s="53" t="s">
        <v>96</v>
      </c>
      <c r="E9" s="53" t="s">
        <v>96</v>
      </c>
      <c r="F9" s="53" t="s">
        <v>96</v>
      </c>
      <c r="G9" s="53" t="s">
        <v>96</v>
      </c>
      <c r="H9" s="53" t="s">
        <v>96</v>
      </c>
      <c r="I9" s="53"/>
      <c r="J9" s="53"/>
      <c r="K9" s="53" t="s">
        <v>96</v>
      </c>
      <c r="L9" s="53" t="s">
        <v>96</v>
      </c>
      <c r="M9" s="53" t="s">
        <v>96</v>
      </c>
      <c r="N9" s="53" t="s">
        <v>96</v>
      </c>
      <c r="O9" s="53" t="s">
        <v>96</v>
      </c>
      <c r="P9" s="56"/>
    </row>
    <row r="10" spans="1:16">
      <c r="A10" s="57"/>
      <c r="B10" s="58"/>
      <c r="C10" s="59"/>
      <c r="D10" s="59">
        <v>0</v>
      </c>
      <c r="E10" s="59">
        <v>0</v>
      </c>
      <c r="F10" s="59">
        <v>0</v>
      </c>
      <c r="G10" s="59">
        <v>0</v>
      </c>
      <c r="H10" s="59">
        <v>0</v>
      </c>
      <c r="I10" s="59">
        <f>SUM(D10:H10)</f>
        <v>0</v>
      </c>
      <c r="J10" s="59"/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60">
        <f>SUM(K10:O10)</f>
        <v>0</v>
      </c>
    </row>
    <row r="11" spans="1:16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</row>
    <row r="12" spans="1:16">
      <c r="A12" s="46" t="s">
        <v>97</v>
      </c>
      <c r="B12" s="47" t="s">
        <v>98</v>
      </c>
      <c r="C12" s="48"/>
      <c r="D12" s="47" t="s">
        <v>99</v>
      </c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61"/>
    </row>
    <row r="13" spans="1:16">
      <c r="A13" s="51"/>
      <c r="B13" s="52"/>
      <c r="C13" s="53"/>
      <c r="D13" s="52" t="s">
        <v>100</v>
      </c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62"/>
    </row>
    <row r="14" spans="1:16">
      <c r="A14" s="51"/>
      <c r="B14" s="52"/>
      <c r="C14" s="53"/>
      <c r="D14" s="52">
        <v>8</v>
      </c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62"/>
    </row>
    <row r="15" spans="1:16">
      <c r="A15" s="51"/>
      <c r="B15" s="52"/>
      <c r="C15" s="53"/>
      <c r="D15" s="52" t="s">
        <v>56</v>
      </c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62"/>
    </row>
    <row r="16" spans="1:16" ht="30.75">
      <c r="A16" s="51"/>
      <c r="B16" s="52"/>
      <c r="C16" s="53"/>
      <c r="D16" s="63" t="s">
        <v>63</v>
      </c>
      <c r="E16" s="63" t="s">
        <v>64</v>
      </c>
      <c r="F16" s="63" t="s">
        <v>65</v>
      </c>
      <c r="G16" s="63" t="s">
        <v>65</v>
      </c>
      <c r="H16" s="63" t="s">
        <v>63</v>
      </c>
      <c r="I16" s="63"/>
      <c r="J16" s="53"/>
      <c r="K16" s="63" t="s">
        <v>64</v>
      </c>
      <c r="L16" s="63" t="s">
        <v>64</v>
      </c>
      <c r="M16" s="63" t="s">
        <v>68</v>
      </c>
      <c r="N16" s="63" t="s">
        <v>68</v>
      </c>
      <c r="O16" s="63" t="s">
        <v>64</v>
      </c>
      <c r="P16" s="64"/>
    </row>
    <row r="17" spans="1:16">
      <c r="A17" s="51"/>
      <c r="B17" s="52"/>
      <c r="C17" s="53"/>
      <c r="D17" s="53">
        <v>10</v>
      </c>
      <c r="E17" s="53">
        <v>10</v>
      </c>
      <c r="F17" s="53">
        <v>10</v>
      </c>
      <c r="G17" s="53">
        <v>10</v>
      </c>
      <c r="H17" s="53">
        <v>10</v>
      </c>
      <c r="I17" s="53">
        <f>SUM(D17:H17)*D14</f>
        <v>400</v>
      </c>
      <c r="J17" s="53"/>
      <c r="K17" s="53">
        <v>10</v>
      </c>
      <c r="L17" s="53">
        <v>10</v>
      </c>
      <c r="M17" s="53">
        <v>10</v>
      </c>
      <c r="N17" s="53">
        <v>10</v>
      </c>
      <c r="O17" s="53">
        <v>10</v>
      </c>
      <c r="P17" s="56">
        <f>SUM(K17:O17)*D14</f>
        <v>400</v>
      </c>
    </row>
    <row r="18" spans="1:16">
      <c r="A18" s="51"/>
      <c r="B18" s="52"/>
      <c r="C18" s="53"/>
      <c r="D18" s="52" t="s">
        <v>69</v>
      </c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62"/>
    </row>
    <row r="19" spans="1:16" ht="30.75">
      <c r="A19" s="51"/>
      <c r="B19" s="52"/>
      <c r="C19" s="53"/>
      <c r="D19" s="63" t="s">
        <v>70</v>
      </c>
      <c r="E19" s="63" t="s">
        <v>71</v>
      </c>
      <c r="F19" s="63" t="s">
        <v>72</v>
      </c>
      <c r="G19" s="63" t="s">
        <v>72</v>
      </c>
      <c r="H19" s="63" t="s">
        <v>72</v>
      </c>
      <c r="I19" s="53"/>
      <c r="J19" s="53"/>
      <c r="K19" s="63" t="s">
        <v>70</v>
      </c>
      <c r="L19" s="63" t="s">
        <v>70</v>
      </c>
      <c r="M19" s="63" t="s">
        <v>71</v>
      </c>
      <c r="N19" s="63" t="s">
        <v>74</v>
      </c>
      <c r="O19" s="63" t="s">
        <v>70</v>
      </c>
      <c r="P19" s="64"/>
    </row>
    <row r="20" spans="1:16">
      <c r="A20" s="51"/>
      <c r="B20" s="52"/>
      <c r="C20" s="53"/>
      <c r="D20" s="53">
        <v>10</v>
      </c>
      <c r="E20" s="53">
        <v>10</v>
      </c>
      <c r="F20" s="53">
        <v>10</v>
      </c>
      <c r="G20" s="53">
        <v>10</v>
      </c>
      <c r="H20" s="53">
        <v>10</v>
      </c>
      <c r="I20" s="53">
        <f>SUM(D20:H20)*D14</f>
        <v>400</v>
      </c>
      <c r="J20" s="53"/>
      <c r="K20" s="53">
        <v>10</v>
      </c>
      <c r="L20" s="53">
        <v>10</v>
      </c>
      <c r="M20" s="53">
        <v>10</v>
      </c>
      <c r="N20" s="53">
        <v>10</v>
      </c>
      <c r="O20" s="53">
        <v>10</v>
      </c>
      <c r="P20" s="56">
        <f>SUM(K20:O20)*D14</f>
        <v>400</v>
      </c>
    </row>
    <row r="21" spans="1:16">
      <c r="A21" s="51"/>
      <c r="B21" s="52"/>
      <c r="C21" s="53"/>
      <c r="D21" s="52" t="s">
        <v>75</v>
      </c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62"/>
    </row>
    <row r="22" spans="1:16">
      <c r="A22" s="51"/>
      <c r="B22" s="52"/>
      <c r="C22" s="53"/>
      <c r="D22" s="65" t="s">
        <v>101</v>
      </c>
      <c r="E22" s="65" t="s">
        <v>101</v>
      </c>
      <c r="F22" s="65" t="s">
        <v>101</v>
      </c>
      <c r="G22" s="65" t="s">
        <v>101</v>
      </c>
      <c r="H22" s="65" t="s">
        <v>101</v>
      </c>
      <c r="I22" s="65"/>
      <c r="J22" s="53"/>
      <c r="K22" s="65" t="s">
        <v>101</v>
      </c>
      <c r="L22" s="65" t="s">
        <v>101</v>
      </c>
      <c r="M22" s="65" t="s">
        <v>101</v>
      </c>
      <c r="N22" s="65" t="s">
        <v>101</v>
      </c>
      <c r="O22" s="65" t="s">
        <v>101</v>
      </c>
      <c r="P22" s="66"/>
    </row>
    <row r="23" spans="1:16">
      <c r="A23" s="57"/>
      <c r="B23" s="58"/>
      <c r="C23" s="59"/>
      <c r="D23" s="59">
        <v>10</v>
      </c>
      <c r="E23" s="59">
        <v>10</v>
      </c>
      <c r="F23" s="59">
        <v>10</v>
      </c>
      <c r="G23" s="59">
        <v>10</v>
      </c>
      <c r="H23" s="59">
        <v>10</v>
      </c>
      <c r="I23" s="59">
        <f>SUM(D23:H23)*D14</f>
        <v>400</v>
      </c>
      <c r="J23" s="59"/>
      <c r="K23" s="59">
        <v>10</v>
      </c>
      <c r="L23" s="59">
        <v>10</v>
      </c>
      <c r="M23" s="59">
        <v>10</v>
      </c>
      <c r="N23" s="59">
        <v>10</v>
      </c>
      <c r="O23" s="59">
        <v>10</v>
      </c>
      <c r="P23" s="60">
        <f>SUM(K23:O23)*D14</f>
        <v>400</v>
      </c>
    </row>
    <row r="24" spans="1:16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</row>
    <row r="25" spans="1:16">
      <c r="A25" s="46" t="s">
        <v>102</v>
      </c>
      <c r="B25" s="47" t="s">
        <v>28</v>
      </c>
      <c r="C25" s="48"/>
      <c r="D25" s="67" t="s">
        <v>103</v>
      </c>
      <c r="E25" s="67" t="s">
        <v>103</v>
      </c>
      <c r="F25" s="67" t="s">
        <v>103</v>
      </c>
      <c r="G25" s="67" t="s">
        <v>103</v>
      </c>
      <c r="H25" s="67" t="s">
        <v>103</v>
      </c>
      <c r="I25" s="48"/>
      <c r="J25" s="48"/>
      <c r="K25" s="67" t="s">
        <v>103</v>
      </c>
      <c r="L25" s="67" t="s">
        <v>103</v>
      </c>
      <c r="M25" s="67" t="s">
        <v>103</v>
      </c>
      <c r="N25" s="67" t="s">
        <v>103</v>
      </c>
      <c r="O25" s="67" t="s">
        <v>103</v>
      </c>
      <c r="P25" s="68"/>
    </row>
    <row r="26" spans="1:16">
      <c r="A26" s="51"/>
      <c r="B26" s="52"/>
      <c r="C26" s="53"/>
      <c r="D26" s="53">
        <v>5</v>
      </c>
      <c r="E26" s="53">
        <v>5</v>
      </c>
      <c r="F26" s="53">
        <v>5</v>
      </c>
      <c r="G26" s="53">
        <v>5</v>
      </c>
      <c r="H26" s="53">
        <v>5</v>
      </c>
      <c r="I26" s="53">
        <f>SUM(D26:H26)</f>
        <v>25</v>
      </c>
      <c r="J26" s="53"/>
      <c r="K26" s="53">
        <v>5</v>
      </c>
      <c r="L26" s="53">
        <v>5</v>
      </c>
      <c r="M26" s="53">
        <v>5</v>
      </c>
      <c r="N26" s="53">
        <v>5</v>
      </c>
      <c r="O26" s="53">
        <v>5</v>
      </c>
      <c r="P26" s="56">
        <f>SUM(K26:O26)</f>
        <v>25</v>
      </c>
    </row>
    <row r="27" spans="1:16">
      <c r="A27" s="51"/>
      <c r="B27" s="52" t="s">
        <v>30</v>
      </c>
      <c r="C27" s="53"/>
      <c r="D27" s="65" t="s">
        <v>104</v>
      </c>
      <c r="E27" s="65" t="s">
        <v>104</v>
      </c>
      <c r="F27" s="65" t="s">
        <v>104</v>
      </c>
      <c r="G27" s="65" t="s">
        <v>104</v>
      </c>
      <c r="H27" s="65" t="s">
        <v>104</v>
      </c>
      <c r="I27" s="53"/>
      <c r="J27" s="53"/>
      <c r="K27" s="65" t="s">
        <v>104</v>
      </c>
      <c r="L27" s="65" t="s">
        <v>104</v>
      </c>
      <c r="M27" s="65" t="s">
        <v>104</v>
      </c>
      <c r="N27" s="65" t="s">
        <v>104</v>
      </c>
      <c r="O27" s="65" t="s">
        <v>104</v>
      </c>
      <c r="P27" s="56"/>
    </row>
    <row r="28" spans="1:16">
      <c r="A28" s="51"/>
      <c r="B28" s="52"/>
      <c r="C28" s="53"/>
      <c r="D28" s="53">
        <v>4</v>
      </c>
      <c r="E28" s="53">
        <v>4</v>
      </c>
      <c r="F28" s="53">
        <v>4</v>
      </c>
      <c r="G28" s="53">
        <v>4</v>
      </c>
      <c r="H28" s="53">
        <v>4</v>
      </c>
      <c r="I28" s="53">
        <f>SUM(D28:H28)</f>
        <v>20</v>
      </c>
      <c r="J28" s="53"/>
      <c r="K28" s="53">
        <v>4</v>
      </c>
      <c r="L28" s="53">
        <v>4</v>
      </c>
      <c r="M28" s="53">
        <v>4</v>
      </c>
      <c r="N28" s="53">
        <v>4</v>
      </c>
      <c r="O28" s="53">
        <v>4</v>
      </c>
      <c r="P28" s="56">
        <f>SUM(K28:O28)</f>
        <v>20</v>
      </c>
    </row>
    <row r="29" spans="1:16">
      <c r="A29" s="51"/>
      <c r="B29" s="54" t="s">
        <v>33</v>
      </c>
      <c r="C29" s="53"/>
      <c r="D29" s="53" t="s">
        <v>105</v>
      </c>
      <c r="E29" s="53" t="s">
        <v>105</v>
      </c>
      <c r="F29" s="53" t="s">
        <v>105</v>
      </c>
      <c r="G29" s="53" t="s">
        <v>105</v>
      </c>
      <c r="H29" s="53" t="s">
        <v>105</v>
      </c>
      <c r="I29" s="53"/>
      <c r="J29" s="53"/>
      <c r="K29" s="53" t="s">
        <v>105</v>
      </c>
      <c r="L29" s="53" t="s">
        <v>105</v>
      </c>
      <c r="M29" s="53" t="s">
        <v>105</v>
      </c>
      <c r="N29" s="53" t="s">
        <v>105</v>
      </c>
      <c r="O29" s="53" t="s">
        <v>105</v>
      </c>
      <c r="P29" s="56"/>
    </row>
    <row r="30" spans="1:16">
      <c r="A30" s="51"/>
      <c r="B30" s="54"/>
      <c r="C30" s="53"/>
      <c r="D30" s="53">
        <v>5</v>
      </c>
      <c r="E30" s="53">
        <v>5</v>
      </c>
      <c r="F30" s="53">
        <v>5</v>
      </c>
      <c r="G30" s="53">
        <v>5</v>
      </c>
      <c r="H30" s="53">
        <v>5</v>
      </c>
      <c r="I30" s="53">
        <f>SUM(D30:H30)</f>
        <v>25</v>
      </c>
      <c r="J30" s="53"/>
      <c r="K30" s="53">
        <v>5</v>
      </c>
      <c r="L30" s="53">
        <v>5</v>
      </c>
      <c r="M30" s="53">
        <v>5</v>
      </c>
      <c r="N30" s="53">
        <v>5</v>
      </c>
      <c r="O30" s="53">
        <v>5</v>
      </c>
      <c r="P30" s="56">
        <f>SUM(K30:O30)</f>
        <v>25</v>
      </c>
    </row>
    <row r="31" spans="1:16">
      <c r="A31" s="51"/>
      <c r="B31" s="52" t="s">
        <v>35</v>
      </c>
      <c r="C31" s="53"/>
      <c r="D31" s="53" t="s">
        <v>106</v>
      </c>
      <c r="E31" s="53" t="s">
        <v>106</v>
      </c>
      <c r="F31" s="53" t="s">
        <v>106</v>
      </c>
      <c r="G31" s="53" t="s">
        <v>106</v>
      </c>
      <c r="H31" s="53" t="s">
        <v>106</v>
      </c>
      <c r="I31" s="53"/>
      <c r="J31" s="53"/>
      <c r="K31" s="53" t="s">
        <v>106</v>
      </c>
      <c r="L31" s="53" t="s">
        <v>106</v>
      </c>
      <c r="M31" s="53" t="s">
        <v>106</v>
      </c>
      <c r="N31" s="53" t="s">
        <v>106</v>
      </c>
      <c r="O31" s="53" t="s">
        <v>106</v>
      </c>
      <c r="P31" s="56"/>
    </row>
    <row r="32" spans="1:16">
      <c r="A32" s="51"/>
      <c r="B32" s="52"/>
      <c r="C32" s="53"/>
      <c r="D32" s="53">
        <v>10</v>
      </c>
      <c r="E32" s="53">
        <v>10</v>
      </c>
      <c r="F32" s="53">
        <v>10</v>
      </c>
      <c r="G32" s="53">
        <v>10</v>
      </c>
      <c r="H32" s="53">
        <v>10</v>
      </c>
      <c r="I32" s="53">
        <f>SUM(D32:H32)</f>
        <v>50</v>
      </c>
      <c r="J32" s="53"/>
      <c r="K32" s="53">
        <v>10</v>
      </c>
      <c r="L32" s="53">
        <v>10</v>
      </c>
      <c r="M32" s="53">
        <v>10</v>
      </c>
      <c r="N32" s="53">
        <v>10</v>
      </c>
      <c r="O32" s="53">
        <v>10</v>
      </c>
      <c r="P32" s="56">
        <f>SUM(K32:O32)</f>
        <v>50</v>
      </c>
    </row>
    <row r="33" spans="1:16">
      <c r="A33" s="51"/>
      <c r="B33" s="54" t="s">
        <v>107</v>
      </c>
      <c r="C33" s="53"/>
      <c r="D33" s="53" t="s">
        <v>105</v>
      </c>
      <c r="E33" s="53" t="s">
        <v>105</v>
      </c>
      <c r="F33" s="53" t="s">
        <v>105</v>
      </c>
      <c r="G33" s="53" t="s">
        <v>105</v>
      </c>
      <c r="H33" s="53" t="s">
        <v>105</v>
      </c>
      <c r="I33" s="53"/>
      <c r="J33" s="53"/>
      <c r="K33" s="53" t="s">
        <v>105</v>
      </c>
      <c r="L33" s="53" t="s">
        <v>105</v>
      </c>
      <c r="M33" s="53" t="s">
        <v>105</v>
      </c>
      <c r="N33" s="53" t="s">
        <v>105</v>
      </c>
      <c r="O33" s="53" t="s">
        <v>105</v>
      </c>
      <c r="P33" s="56"/>
    </row>
    <row r="34" spans="1:16">
      <c r="A34" s="51"/>
      <c r="B34" s="54"/>
      <c r="C34" s="53"/>
      <c r="D34" s="53">
        <v>5</v>
      </c>
      <c r="E34" s="53">
        <v>5</v>
      </c>
      <c r="F34" s="53">
        <v>5</v>
      </c>
      <c r="G34" s="53">
        <v>5</v>
      </c>
      <c r="H34" s="53">
        <v>5</v>
      </c>
      <c r="I34" s="53">
        <f>SUM(D34:H34)</f>
        <v>25</v>
      </c>
      <c r="J34" s="53"/>
      <c r="K34" s="53">
        <v>5</v>
      </c>
      <c r="L34" s="53">
        <v>5</v>
      </c>
      <c r="M34" s="53">
        <v>5</v>
      </c>
      <c r="N34" s="53">
        <v>5</v>
      </c>
      <c r="O34" s="53">
        <v>5</v>
      </c>
      <c r="P34" s="56">
        <f>SUM(K34:O34)</f>
        <v>25</v>
      </c>
    </row>
    <row r="35" spans="1:16">
      <c r="A35" s="51"/>
      <c r="B35" s="54" t="s">
        <v>108</v>
      </c>
      <c r="C35" s="53"/>
      <c r="D35" s="53" t="s">
        <v>106</v>
      </c>
      <c r="E35" s="53" t="s">
        <v>106</v>
      </c>
      <c r="F35" s="53" t="s">
        <v>106</v>
      </c>
      <c r="G35" s="53" t="s">
        <v>106</v>
      </c>
      <c r="H35" s="53" t="s">
        <v>106</v>
      </c>
      <c r="I35" s="53"/>
      <c r="J35" s="53"/>
      <c r="K35" s="53" t="s">
        <v>106</v>
      </c>
      <c r="L35" s="53" t="s">
        <v>106</v>
      </c>
      <c r="M35" s="53" t="s">
        <v>106</v>
      </c>
      <c r="N35" s="53" t="s">
        <v>106</v>
      </c>
      <c r="O35" s="53" t="s">
        <v>106</v>
      </c>
      <c r="P35" s="56"/>
    </row>
    <row r="36" spans="1:16">
      <c r="A36" s="57"/>
      <c r="B36" s="69"/>
      <c r="C36" s="59"/>
      <c r="D36" s="59">
        <v>10</v>
      </c>
      <c r="E36" s="59">
        <v>10</v>
      </c>
      <c r="F36" s="59">
        <v>10</v>
      </c>
      <c r="G36" s="59">
        <v>10</v>
      </c>
      <c r="H36" s="59">
        <v>10</v>
      </c>
      <c r="I36" s="59">
        <f>SUM(D36:H36)</f>
        <v>50</v>
      </c>
      <c r="J36" s="59"/>
      <c r="K36" s="59">
        <v>10</v>
      </c>
      <c r="L36" s="59">
        <v>10</v>
      </c>
      <c r="M36" s="59">
        <v>10</v>
      </c>
      <c r="N36" s="59">
        <v>10</v>
      </c>
      <c r="O36" s="59">
        <v>10</v>
      </c>
      <c r="P36" s="60">
        <f>SUM(K36:O36)</f>
        <v>50</v>
      </c>
    </row>
    <row r="37" spans="1:16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</row>
    <row r="38" spans="1:16" ht="45.75">
      <c r="A38" s="46" t="s">
        <v>39</v>
      </c>
      <c r="B38" s="47" t="s">
        <v>40</v>
      </c>
      <c r="C38" s="48"/>
      <c r="D38" s="70" t="s">
        <v>41</v>
      </c>
      <c r="E38" s="70" t="s">
        <v>41</v>
      </c>
      <c r="F38" s="70" t="s">
        <v>41</v>
      </c>
      <c r="G38" s="70" t="s">
        <v>41</v>
      </c>
      <c r="H38" s="70" t="s">
        <v>41</v>
      </c>
      <c r="I38" s="48"/>
      <c r="J38" s="48"/>
      <c r="K38" s="70" t="s">
        <v>41</v>
      </c>
      <c r="L38" s="70" t="s">
        <v>41</v>
      </c>
      <c r="M38" s="70" t="s">
        <v>41</v>
      </c>
      <c r="N38" s="70" t="s">
        <v>41</v>
      </c>
      <c r="O38" s="70" t="s">
        <v>41</v>
      </c>
      <c r="P38" s="68"/>
    </row>
    <row r="39" spans="1:16">
      <c r="A39" s="57"/>
      <c r="B39" s="58"/>
      <c r="C39" s="59" t="s">
        <v>109</v>
      </c>
      <c r="D39" s="59">
        <v>15</v>
      </c>
      <c r="E39" s="59">
        <v>15</v>
      </c>
      <c r="F39" s="59">
        <v>15</v>
      </c>
      <c r="G39" s="59">
        <v>15</v>
      </c>
      <c r="H39" s="59">
        <v>15</v>
      </c>
      <c r="I39" s="59">
        <f>SUM(D39:H39)</f>
        <v>75</v>
      </c>
      <c r="J39" s="59"/>
      <c r="K39" s="59">
        <v>15</v>
      </c>
      <c r="L39" s="59">
        <v>15</v>
      </c>
      <c r="M39" s="59">
        <v>15</v>
      </c>
      <c r="N39" s="59">
        <v>15</v>
      </c>
      <c r="O39" s="59">
        <v>15</v>
      </c>
      <c r="P39" s="60">
        <f>SUM(K39:O39)</f>
        <v>75</v>
      </c>
    </row>
    <row r="40" spans="1:16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</row>
    <row r="41" spans="1:16">
      <c r="A41" s="46" t="s">
        <v>43</v>
      </c>
      <c r="B41" s="49" t="s">
        <v>110</v>
      </c>
      <c r="C41" s="48"/>
      <c r="D41" s="47" t="s">
        <v>111</v>
      </c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61"/>
    </row>
    <row r="42" spans="1:16">
      <c r="A42" s="51"/>
      <c r="B42" s="54"/>
      <c r="C42" s="53"/>
      <c r="D42" s="71" t="s">
        <v>112</v>
      </c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62"/>
    </row>
    <row r="43" spans="1:16">
      <c r="A43" s="51"/>
      <c r="B43" s="54"/>
      <c r="C43" s="53"/>
      <c r="D43" s="52">
        <v>6</v>
      </c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62"/>
    </row>
    <row r="44" spans="1:16" ht="45.75">
      <c r="A44" s="51"/>
      <c r="B44" s="54"/>
      <c r="C44" s="53"/>
      <c r="D44" s="63" t="s">
        <v>113</v>
      </c>
      <c r="E44" s="63" t="s">
        <v>114</v>
      </c>
      <c r="F44" s="63" t="s">
        <v>115</v>
      </c>
      <c r="G44" s="63" t="s">
        <v>116</v>
      </c>
      <c r="H44" s="63" t="s">
        <v>117</v>
      </c>
      <c r="I44" s="53"/>
      <c r="J44" s="53"/>
      <c r="K44" s="63" t="s">
        <v>118</v>
      </c>
      <c r="L44" s="63" t="s">
        <v>119</v>
      </c>
      <c r="M44" s="63" t="s">
        <v>120</v>
      </c>
      <c r="N44" s="53" t="s">
        <v>121</v>
      </c>
      <c r="O44" s="63" t="s">
        <v>122</v>
      </c>
      <c r="P44" s="56"/>
    </row>
    <row r="45" spans="1:16">
      <c r="A45" s="57"/>
      <c r="B45" s="69"/>
      <c r="C45" s="59"/>
      <c r="D45" s="59">
        <v>2</v>
      </c>
      <c r="E45" s="59">
        <v>1</v>
      </c>
      <c r="F45" s="59">
        <v>5</v>
      </c>
      <c r="G45" s="59">
        <v>4</v>
      </c>
      <c r="H45" s="59">
        <v>3</v>
      </c>
      <c r="I45" s="59">
        <f>SUM(D45:H45)*D43</f>
        <v>90</v>
      </c>
      <c r="J45" s="59"/>
      <c r="K45" s="59">
        <v>4</v>
      </c>
      <c r="L45" s="59">
        <v>3</v>
      </c>
      <c r="M45" s="59">
        <v>2</v>
      </c>
      <c r="N45" s="59">
        <v>1</v>
      </c>
      <c r="O45" s="59">
        <v>5</v>
      </c>
      <c r="P45" s="60">
        <f>SUM(K45:O45)*D43</f>
        <v>90</v>
      </c>
    </row>
    <row r="46" spans="1:1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</row>
    <row r="49" spans="4:16">
      <c r="I49">
        <f>I3+I6+I8+I10+I17+I20+I23+I26+I28+I30+I32+I34+I36+I39+I45</f>
        <v>1685</v>
      </c>
      <c r="P49">
        <f>P3+P6+P8+P10+P17+P20+P23+P26+P28+P30+P32+P34+P36+P39+P45</f>
        <v>1685</v>
      </c>
    </row>
    <row r="51" spans="4:16" ht="60.75">
      <c r="D51" s="31" t="s">
        <v>123</v>
      </c>
      <c r="E51" s="32"/>
      <c r="F51" s="32"/>
      <c r="G51" s="32"/>
      <c r="H51" s="32"/>
      <c r="I51" s="32">
        <v>1</v>
      </c>
      <c r="J51" s="32"/>
      <c r="K51" s="32"/>
      <c r="L51" s="32"/>
      <c r="M51" s="32"/>
      <c r="N51" s="32"/>
      <c r="O51" s="32"/>
      <c r="P51" s="32">
        <v>1</v>
      </c>
    </row>
    <row r="52" spans="4:16" ht="30.75">
      <c r="D52" s="31" t="s">
        <v>124</v>
      </c>
      <c r="E52" s="32"/>
      <c r="F52" s="32"/>
      <c r="G52" s="32"/>
      <c r="H52" s="32"/>
      <c r="I52" s="32">
        <f>(I49*I51)/60</f>
        <v>28.083333333333332</v>
      </c>
      <c r="J52" s="32"/>
      <c r="K52" s="32"/>
      <c r="L52" s="32"/>
      <c r="M52" s="32"/>
      <c r="N52" s="32"/>
      <c r="O52" s="32"/>
      <c r="P52" s="32">
        <f>(P49*P51)/60</f>
        <v>28.083333333333332</v>
      </c>
    </row>
    <row r="53" spans="4:16"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</row>
    <row r="54" spans="4:16" ht="30.75">
      <c r="D54" s="31" t="s">
        <v>125</v>
      </c>
      <c r="E54" s="32"/>
      <c r="F54" s="32"/>
      <c r="G54" s="32"/>
      <c r="H54" s="32"/>
      <c r="I54" s="32">
        <f>(I52+P52)/24</f>
        <v>2.3402777777777777</v>
      </c>
      <c r="J54" s="32"/>
      <c r="K54" s="32"/>
      <c r="L54" s="32"/>
      <c r="M54" s="32"/>
      <c r="N54" s="32"/>
      <c r="O54" s="32"/>
      <c r="P54" s="32"/>
    </row>
    <row r="65" spans="12:12">
      <c r="L65" t="s">
        <v>126</v>
      </c>
    </row>
  </sheetData>
  <mergeCells count="31">
    <mergeCell ref="B9:B10"/>
    <mergeCell ref="A3:A10"/>
    <mergeCell ref="D15:P15"/>
    <mergeCell ref="D18:P18"/>
    <mergeCell ref="D21:P21"/>
    <mergeCell ref="D12:P12"/>
    <mergeCell ref="D13:P13"/>
    <mergeCell ref="D14:P14"/>
    <mergeCell ref="B12:B23"/>
    <mergeCell ref="A12:A23"/>
    <mergeCell ref="I3:I6"/>
    <mergeCell ref="P3:P6"/>
    <mergeCell ref="D1:H1"/>
    <mergeCell ref="K1:O1"/>
    <mergeCell ref="B3:B4"/>
    <mergeCell ref="B5:B6"/>
    <mergeCell ref="B7:B8"/>
    <mergeCell ref="B33:B34"/>
    <mergeCell ref="B35:B36"/>
    <mergeCell ref="A25:A36"/>
    <mergeCell ref="B25:B26"/>
    <mergeCell ref="B27:B28"/>
    <mergeCell ref="B29:B30"/>
    <mergeCell ref="B31:B32"/>
    <mergeCell ref="B38:B39"/>
    <mergeCell ref="A38:A39"/>
    <mergeCell ref="D41:P41"/>
    <mergeCell ref="D42:P42"/>
    <mergeCell ref="D43:P43"/>
    <mergeCell ref="B41:B45"/>
    <mergeCell ref="A41:A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F993-48A2-4297-89C5-097565E002BB}">
  <dimension ref="B2:N6"/>
  <sheetViews>
    <sheetView workbookViewId="0">
      <selection activeCell="B7" sqref="B7"/>
    </sheetView>
  </sheetViews>
  <sheetFormatPr defaultRowHeight="15"/>
  <sheetData>
    <row r="2" spans="2:14">
      <c r="B2" t="s">
        <v>127</v>
      </c>
      <c r="C2" s="33" t="s">
        <v>78</v>
      </c>
      <c r="D2" s="33"/>
      <c r="E2" s="33"/>
      <c r="F2" s="33"/>
      <c r="G2" s="33"/>
      <c r="H2" s="16"/>
      <c r="J2" s="33" t="s">
        <v>79</v>
      </c>
      <c r="K2" s="33"/>
      <c r="L2" s="33"/>
      <c r="M2" s="33"/>
      <c r="N2" s="33"/>
    </row>
    <row r="3" spans="2:14">
      <c r="C3" t="s">
        <v>80</v>
      </c>
      <c r="D3" t="s">
        <v>59</v>
      </c>
      <c r="E3" t="s">
        <v>60</v>
      </c>
      <c r="F3" t="s">
        <v>61</v>
      </c>
      <c r="G3" t="s">
        <v>62</v>
      </c>
      <c r="H3" t="s">
        <v>81</v>
      </c>
      <c r="J3" t="s">
        <v>80</v>
      </c>
      <c r="K3" t="s">
        <v>59</v>
      </c>
      <c r="L3" t="s">
        <v>60</v>
      </c>
      <c r="M3" t="s">
        <v>61</v>
      </c>
      <c r="N3" t="s">
        <v>62</v>
      </c>
    </row>
    <row r="4" spans="2:14">
      <c r="B4" t="s">
        <v>128</v>
      </c>
    </row>
    <row r="5" spans="2:14">
      <c r="B5" t="s">
        <v>129</v>
      </c>
    </row>
    <row r="6" spans="2:14">
      <c r="B6" t="s">
        <v>130</v>
      </c>
    </row>
  </sheetData>
  <mergeCells count="2">
    <mergeCell ref="C2:G2"/>
    <mergeCell ref="J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AFA3-6A1D-4766-BCE9-934096D20164}">
  <dimension ref="A1:J21"/>
  <sheetViews>
    <sheetView workbookViewId="0">
      <selection activeCell="C27" sqref="C27"/>
    </sheetView>
  </sheetViews>
  <sheetFormatPr defaultColWidth="9.140625" defaultRowHeight="15"/>
  <cols>
    <col min="2" max="3" width="32.7109375" style="1" customWidth="1"/>
    <col min="4" max="4" width="19.7109375" style="1" customWidth="1"/>
    <col min="5" max="9" width="32.7109375" style="1" customWidth="1"/>
    <col min="10" max="10" width="4.42578125" style="1" customWidth="1"/>
    <col min="16384" max="16384" width="9.140625" bestFit="1" customWidth="1"/>
  </cols>
  <sheetData>
    <row r="1" spans="1:9">
      <c r="E1" s="43" t="s">
        <v>0</v>
      </c>
      <c r="F1" s="43"/>
      <c r="G1" s="43"/>
      <c r="H1" s="43"/>
    </row>
    <row r="2" spans="1:9" ht="30.75">
      <c r="A2" s="2" t="s">
        <v>1</v>
      </c>
      <c r="B2" s="3" t="s">
        <v>2</v>
      </c>
      <c r="C2" s="3" t="s">
        <v>3</v>
      </c>
      <c r="D2" s="3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3" t="s">
        <v>9</v>
      </c>
    </row>
    <row r="3" spans="1:9" hidden="1">
      <c r="A3" s="2">
        <v>1</v>
      </c>
      <c r="B3" s="3" t="s">
        <v>11</v>
      </c>
      <c r="C3" s="13" t="s">
        <v>131</v>
      </c>
      <c r="D3" s="13" t="s">
        <v>45</v>
      </c>
      <c r="E3" s="14" t="s">
        <v>132</v>
      </c>
      <c r="F3" s="44" t="s">
        <v>133</v>
      </c>
      <c r="G3" s="44"/>
      <c r="H3" s="44"/>
      <c r="I3" s="1" t="s">
        <v>134</v>
      </c>
    </row>
    <row r="4" spans="1:9" ht="30.75">
      <c r="A4" s="2">
        <v>1</v>
      </c>
      <c r="B4" s="3" t="s">
        <v>135</v>
      </c>
      <c r="C4" s="3" t="s">
        <v>12</v>
      </c>
      <c r="D4" s="3" t="s">
        <v>136</v>
      </c>
      <c r="E4" s="1" t="s">
        <v>137</v>
      </c>
      <c r="F4" s="34" t="s">
        <v>138</v>
      </c>
      <c r="G4" s="34"/>
      <c r="H4" s="34"/>
      <c r="I4" s="14" t="s">
        <v>15</v>
      </c>
    </row>
    <row r="5" spans="1:9" ht="30.75" hidden="1">
      <c r="A5" s="2"/>
      <c r="B5" s="3"/>
      <c r="C5" s="8" t="s">
        <v>139</v>
      </c>
      <c r="D5" s="8"/>
      <c r="E5" s="9" t="s">
        <v>140</v>
      </c>
      <c r="F5" s="9" t="s">
        <v>140</v>
      </c>
      <c r="G5" s="9" t="s">
        <v>140</v>
      </c>
      <c r="H5" s="9" t="s">
        <v>140</v>
      </c>
      <c r="I5" s="34" t="s">
        <v>141</v>
      </c>
    </row>
    <row r="6" spans="1:9" hidden="1">
      <c r="A6" s="2"/>
      <c r="B6" s="3"/>
      <c r="C6" s="8" t="s">
        <v>142</v>
      </c>
      <c r="D6" s="8"/>
      <c r="E6" s="9" t="s">
        <v>143</v>
      </c>
      <c r="F6" s="45" t="s">
        <v>144</v>
      </c>
      <c r="G6" s="45"/>
      <c r="H6" s="45"/>
      <c r="I6" s="34"/>
    </row>
    <row r="7" spans="1:9" hidden="1">
      <c r="A7" s="2"/>
      <c r="B7" s="3"/>
      <c r="C7" s="8" t="s">
        <v>145</v>
      </c>
      <c r="D7" s="8"/>
      <c r="E7" s="9" t="s">
        <v>143</v>
      </c>
      <c r="F7" s="45" t="s">
        <v>146</v>
      </c>
      <c r="G7" s="45"/>
      <c r="H7" s="45"/>
      <c r="I7" s="34"/>
    </row>
    <row r="8" spans="1:9" ht="30.75">
      <c r="A8" s="2">
        <v>2</v>
      </c>
      <c r="B8" s="3" t="s">
        <v>18</v>
      </c>
      <c r="C8" s="3" t="s">
        <v>147</v>
      </c>
      <c r="D8" s="3" t="s">
        <v>136</v>
      </c>
      <c r="E8" s="1" t="s">
        <v>148</v>
      </c>
      <c r="F8" s="1" t="s">
        <v>149</v>
      </c>
      <c r="G8" s="1" t="s">
        <v>148</v>
      </c>
      <c r="H8" s="1" t="s">
        <v>150</v>
      </c>
    </row>
    <row r="9" spans="1:9" hidden="1">
      <c r="A9" s="2">
        <v>3</v>
      </c>
      <c r="B9" s="3" t="s">
        <v>151</v>
      </c>
      <c r="C9" s="8" t="s">
        <v>40</v>
      </c>
      <c r="D9" s="8"/>
      <c r="E9" s="9" t="s">
        <v>152</v>
      </c>
      <c r="F9" s="9" t="s">
        <v>152</v>
      </c>
      <c r="G9" s="9" t="s">
        <v>152</v>
      </c>
      <c r="H9" s="9" t="s">
        <v>152</v>
      </c>
      <c r="I9" s="11" t="s">
        <v>141</v>
      </c>
    </row>
    <row r="10" spans="1:9" ht="15" customHeight="1">
      <c r="A10" s="2">
        <v>4</v>
      </c>
      <c r="B10" s="3" t="s">
        <v>27</v>
      </c>
      <c r="C10" s="3" t="s">
        <v>28</v>
      </c>
      <c r="D10" s="3" t="s">
        <v>136</v>
      </c>
      <c r="E10" s="1" t="s">
        <v>153</v>
      </c>
      <c r="F10" s="1" t="s">
        <v>153</v>
      </c>
      <c r="G10" s="1" t="s">
        <v>153</v>
      </c>
      <c r="H10" s="1" t="s">
        <v>153</v>
      </c>
    </row>
    <row r="11" spans="1:9">
      <c r="A11" s="2"/>
      <c r="B11" s="3"/>
      <c r="C11" s="3" t="s">
        <v>30</v>
      </c>
      <c r="D11" s="3" t="s">
        <v>136</v>
      </c>
      <c r="E11" s="1" t="s">
        <v>154</v>
      </c>
      <c r="F11" s="1" t="s">
        <v>154</v>
      </c>
      <c r="G11" s="1" t="s">
        <v>154</v>
      </c>
      <c r="H11" s="1" t="s">
        <v>154</v>
      </c>
    </row>
    <row r="12" spans="1:9">
      <c r="A12" s="2"/>
      <c r="B12" s="3"/>
      <c r="C12" s="3" t="s">
        <v>33</v>
      </c>
      <c r="D12" s="3" t="s">
        <v>136</v>
      </c>
    </row>
    <row r="13" spans="1:9">
      <c r="A13" s="2"/>
      <c r="B13" s="3"/>
      <c r="C13" s="3" t="s">
        <v>35</v>
      </c>
      <c r="D13" s="3" t="s">
        <v>136</v>
      </c>
    </row>
    <row r="14" spans="1:9">
      <c r="A14" s="2">
        <v>5</v>
      </c>
      <c r="B14" s="3" t="s">
        <v>39</v>
      </c>
      <c r="C14" s="3" t="s">
        <v>40</v>
      </c>
      <c r="D14" s="3" t="s">
        <v>136</v>
      </c>
      <c r="E14" s="1" t="s">
        <v>155</v>
      </c>
      <c r="F14" s="1" t="s">
        <v>155</v>
      </c>
      <c r="G14" s="1" t="s">
        <v>155</v>
      </c>
      <c r="H14" s="1" t="s">
        <v>155</v>
      </c>
    </row>
    <row r="15" spans="1:9" ht="30.75" hidden="1">
      <c r="A15" s="2">
        <v>6</v>
      </c>
      <c r="B15" s="10" t="s">
        <v>156</v>
      </c>
      <c r="C15" s="8" t="s">
        <v>157</v>
      </c>
      <c r="D15" s="8"/>
      <c r="E15" s="9" t="s">
        <v>158</v>
      </c>
      <c r="F15" s="9" t="s">
        <v>158</v>
      </c>
      <c r="G15" s="9" t="s">
        <v>158</v>
      </c>
      <c r="H15" s="9" t="s">
        <v>158</v>
      </c>
      <c r="I15" s="11" t="s">
        <v>141</v>
      </c>
    </row>
    <row r="16" spans="1:9" ht="30.75">
      <c r="A16" s="2">
        <v>7</v>
      </c>
      <c r="B16" s="3" t="s">
        <v>43</v>
      </c>
      <c r="C16" s="3" t="s">
        <v>159</v>
      </c>
      <c r="D16" s="3" t="s">
        <v>45</v>
      </c>
      <c r="E16" s="1" t="s">
        <v>160</v>
      </c>
      <c r="F16" s="1" t="s">
        <v>161</v>
      </c>
      <c r="G16" s="1" t="s">
        <v>160</v>
      </c>
      <c r="H16" s="1" t="s">
        <v>162</v>
      </c>
    </row>
    <row r="17" spans="2:8">
      <c r="B17" s="3"/>
      <c r="C17" s="3"/>
      <c r="D17" s="3"/>
    </row>
    <row r="18" spans="2:8">
      <c r="B18" s="4" t="s">
        <v>52</v>
      </c>
      <c r="C18" s="4"/>
      <c r="D18" s="4"/>
      <c r="E18" s="5">
        <f>9+300+45+110+16+5+4+15+45+5</f>
        <v>554</v>
      </c>
      <c r="F18" s="5">
        <f>9+300+45+50+16+5+4+15+45+2</f>
        <v>491</v>
      </c>
      <c r="G18" s="5">
        <f>9+300+45+110+16+5+4+15+45+5</f>
        <v>554</v>
      </c>
      <c r="H18" s="5">
        <f>9+300+45+90+16+5+4+15+45+4</f>
        <v>533</v>
      </c>
    </row>
    <row r="19" spans="2:8" ht="30.75">
      <c r="B19" s="4" t="s">
        <v>53</v>
      </c>
      <c r="C19" s="4"/>
      <c r="D19" s="4"/>
      <c r="E19" s="5">
        <v>1.67</v>
      </c>
      <c r="F19" s="5">
        <v>0.67</v>
      </c>
      <c r="G19" s="5">
        <v>2</v>
      </c>
      <c r="H19" s="5">
        <v>1.33</v>
      </c>
    </row>
    <row r="20" spans="2:8">
      <c r="B20" s="4" t="s">
        <v>54</v>
      </c>
      <c r="C20" s="4"/>
      <c r="D20" s="4"/>
      <c r="E20" s="6">
        <f>E18*E19/60</f>
        <v>15.419666666666666</v>
      </c>
      <c r="F20" s="6">
        <f>F18*F19/60</f>
        <v>5.4828333333333337</v>
      </c>
      <c r="G20" s="6">
        <f>G18*G19/60</f>
        <v>18.466666666666665</v>
      </c>
      <c r="H20" s="6">
        <f>H18*H19/60</f>
        <v>11.814833333333333</v>
      </c>
    </row>
    <row r="21" spans="2:8">
      <c r="G21" s="3"/>
      <c r="H21" s="7"/>
    </row>
  </sheetData>
  <mergeCells count="6">
    <mergeCell ref="I5:I7"/>
    <mergeCell ref="E1:H1"/>
    <mergeCell ref="F3:H3"/>
    <mergeCell ref="F4:H4"/>
    <mergeCell ref="F6:H6"/>
    <mergeCell ref="F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2026-09-17T12:50:06Z</dcterms:created>
  <dcterms:modified xsi:type="dcterms:W3CDTF">2026-09-24T09:54:33Z</dcterms:modified>
  <cp:category/>
  <cp:contentStatus/>
</cp:coreProperties>
</file>